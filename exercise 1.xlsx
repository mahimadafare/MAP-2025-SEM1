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2647F9C9BA0EBF5/Desktop/MAP 2025 SEM 1/"/>
    </mc:Choice>
  </mc:AlternateContent>
  <xr:revisionPtr revIDLastSave="12" documentId="13_ncr:1_{BD00435A-E866-4BE7-97DC-399885D596F6}" xr6:coauthVersionLast="36" xr6:coauthVersionMax="36" xr10:uidLastSave="{12D8B157-DE30-4AE8-97CD-12D5B08B8D2A}"/>
  <bookViews>
    <workbookView xWindow="0" yWindow="0" windowWidth="19200" windowHeight="6810" activeTab="2" xr2:uid="{F1553E54-EEB3-4A3C-8B76-DCE9A4492C7D}"/>
  </bookViews>
  <sheets>
    <sheet name="PART-A" sheetId="1" r:id="rId1"/>
    <sheet name="PART-B" sheetId="2" r:id="rId2"/>
    <sheet name="PART-C" sheetId="4" r:id="rId3"/>
  </sheets>
  <definedNames>
    <definedName name="_xlnm._FilterDatabase" localSheetId="1" hidden="1">'PART-B'!$F$43:$F$50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8" i="4" l="1"/>
  <c r="H25" i="2"/>
  <c r="H21" i="2"/>
  <c r="H22" i="2"/>
  <c r="H26" i="2"/>
  <c r="H24" i="2"/>
  <c r="H23" i="2"/>
  <c r="H50" i="2"/>
  <c r="H49" i="2"/>
  <c r="H48" i="2"/>
  <c r="H47" i="2"/>
  <c r="H46" i="2"/>
  <c r="H45" i="2"/>
  <c r="H38" i="2"/>
  <c r="H37" i="2"/>
  <c r="H36" i="2"/>
  <c r="H35" i="2"/>
  <c r="H34" i="2"/>
  <c r="H33" i="2"/>
  <c r="H9" i="2"/>
  <c r="H10" i="2"/>
  <c r="H13" i="2"/>
  <c r="H14" i="2"/>
  <c r="H11" i="2"/>
  <c r="H12" i="2"/>
  <c r="I20" i="4"/>
  <c r="I19" i="4"/>
  <c r="I9" i="4"/>
  <c r="I10" i="4"/>
  <c r="I11" i="4"/>
  <c r="I12" i="4"/>
  <c r="I13" i="4"/>
  <c r="I14" i="4"/>
  <c r="G16" i="4"/>
  <c r="H17" i="4"/>
  <c r="H11" i="1" l="1"/>
  <c r="H13" i="1"/>
  <c r="H9" i="1"/>
  <c r="H14" i="1"/>
  <c r="H12" i="1"/>
  <c r="H10" i="1"/>
</calcChain>
</file>

<file path=xl/sharedStrings.xml><?xml version="1.0" encoding="utf-8"?>
<sst xmlns="http://schemas.openxmlformats.org/spreadsheetml/2006/main" count="165" uniqueCount="38">
  <si>
    <t>Excel Exercise- Data entry,formating, sorting,filtering &amp; Basic formulas</t>
  </si>
  <si>
    <t>Date</t>
  </si>
  <si>
    <t>Category</t>
  </si>
  <si>
    <t>Quantity</t>
  </si>
  <si>
    <t>Unit Price</t>
  </si>
  <si>
    <t>Total Sales</t>
  </si>
  <si>
    <t>Cashier</t>
  </si>
  <si>
    <t>Bread</t>
  </si>
  <si>
    <t>Bakery</t>
  </si>
  <si>
    <t>Milk</t>
  </si>
  <si>
    <t>Dairy</t>
  </si>
  <si>
    <t>Biscuits</t>
  </si>
  <si>
    <t>snacks</t>
  </si>
  <si>
    <t>Rice Bag</t>
  </si>
  <si>
    <t>Grocery</t>
  </si>
  <si>
    <t>Apples</t>
  </si>
  <si>
    <t>Fruits</t>
  </si>
  <si>
    <t>Shampoo</t>
  </si>
  <si>
    <t>Cosmetics</t>
  </si>
  <si>
    <t>Rohan</t>
  </si>
  <si>
    <t>Priya</t>
  </si>
  <si>
    <t>Kunal</t>
  </si>
  <si>
    <t>Sneha</t>
  </si>
  <si>
    <t>Meera</t>
  </si>
  <si>
    <t>Raj</t>
  </si>
  <si>
    <t>Product Names</t>
  </si>
  <si>
    <t>Sort by total sales (largest-Smallest)</t>
  </si>
  <si>
    <t xml:space="preserve">Total Quantity Sold  </t>
  </si>
  <si>
    <t xml:space="preserve">Average Unit Price  </t>
  </si>
  <si>
    <t xml:space="preserve">Transaction Count   </t>
  </si>
  <si>
    <r>
      <t xml:space="preserve">PART -B         </t>
    </r>
    <r>
      <rPr>
        <sz val="12"/>
        <color theme="1"/>
        <rFont val="Calibri"/>
        <family val="2"/>
        <scheme val="minor"/>
      </rPr>
      <t>Sorting &amp; Filtering</t>
    </r>
    <r>
      <rPr>
        <b/>
        <sz val="12"/>
        <color theme="1"/>
        <rFont val="Calibri"/>
        <family val="2"/>
        <scheme val="minor"/>
      </rPr>
      <t xml:space="preserve">                               </t>
    </r>
  </si>
  <si>
    <r>
      <t xml:space="preserve">PART -C          </t>
    </r>
    <r>
      <rPr>
        <sz val="12"/>
        <color theme="1"/>
        <rFont val="Calibri"/>
        <family val="2"/>
        <scheme val="minor"/>
      </rPr>
      <t>Basic Formulas</t>
    </r>
  </si>
  <si>
    <r>
      <t xml:space="preserve">PART -A          </t>
    </r>
    <r>
      <rPr>
        <sz val="12"/>
        <color theme="1"/>
        <rFont val="Calibri"/>
        <family val="2"/>
        <scheme val="minor"/>
      </rPr>
      <t>Entering, Editing &amp; Formating Data</t>
    </r>
  </si>
  <si>
    <t>Highest Sale</t>
  </si>
  <si>
    <t>Lowest Sale</t>
  </si>
  <si>
    <t>Filter to show only Dairy and Fruits</t>
  </si>
  <si>
    <t>Filter to show Quantity &gt; 5</t>
  </si>
  <si>
    <t xml:space="preserve"> Sort by Category ( A-Z)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</si>
</sst>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d/mm/yyyy;@"/>
    <numFmt numFmtId="165" formatCode="_ [$₹-4009]\ * #,##0.00_ ;_ [$₹-4009]\ * \-#,##0.00_ ;_ [$₹-4009]\ * &quot;-&quot;??_ ;_ @_ 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sz val="12"/>
      <color rgb="FF7030A0"/>
      <name val="Calibri"/>
      <family val="2"/>
      <scheme val="minor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165" fontId="0" fillId="0" borderId="0" xfId="0" applyNumberFormat="1" applyBorder="1" applyAlignment="1">
      <alignment horizontal="center" vertical="center"/>
    </xf>
    <xf numFmtId="165" fontId="0" fillId="0" borderId="0" xfId="0" applyNumberFormat="1" applyBorder="1"/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  <xf numFmtId="164" fontId="0" fillId="0" borderId="0" xfId="0" applyNumberFormat="1" applyBorder="1"/>
    <xf numFmtId="0" fontId="0" fillId="0" borderId="2" xfId="0" applyBorder="1"/>
    <xf numFmtId="0" fontId="0" fillId="0" borderId="2" xfId="0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0" fillId="0" borderId="2" xfId="0" applyNumberFormat="1" applyBorder="1"/>
    <xf numFmtId="164" fontId="0" fillId="0" borderId="3" xfId="0" applyNumberFormat="1" applyBorder="1"/>
    <xf numFmtId="164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65" fontId="1" fillId="0" borderId="0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5" fontId="1" fillId="3" borderId="1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0" fillId="0" borderId="0" xfId="0" applyFill="1" applyBorder="1"/>
    <xf numFmtId="164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165" fontId="0" fillId="0" borderId="0" xfId="0" applyNumberFormat="1" applyFill="1" applyBorder="1"/>
    <xf numFmtId="0" fontId="1" fillId="0" borderId="0" xfId="0" applyFont="1" applyFill="1" applyBorder="1" applyAlignment="1"/>
    <xf numFmtId="0" fontId="4" fillId="0" borderId="0" xfId="0" applyFont="1" applyFill="1" applyBorder="1" applyAlignment="1">
      <alignment vertical="center"/>
    </xf>
    <xf numFmtId="0" fontId="1" fillId="0" borderId="0" xfId="0" applyFont="1" applyFill="1" applyBorder="1"/>
    <xf numFmtId="164" fontId="1" fillId="0" borderId="0" xfId="0" applyNumberFormat="1" applyFont="1" applyFill="1" applyBorder="1"/>
    <xf numFmtId="0" fontId="3" fillId="0" borderId="0" xfId="0" applyFont="1" applyFill="1" applyBorder="1" applyAlignment="1">
      <alignment horizontal="center" vertical="center"/>
    </xf>
    <xf numFmtId="165" fontId="3" fillId="0" borderId="0" xfId="0" applyNumberFormat="1" applyFont="1" applyFill="1" applyBorder="1" applyAlignment="1">
      <alignment horizontal="center" vertical="center"/>
    </xf>
    <xf numFmtId="164" fontId="3" fillId="0" borderId="0" xfId="0" applyNumberFormat="1" applyFont="1" applyFill="1" applyBorder="1"/>
    <xf numFmtId="0" fontId="0" fillId="0" borderId="0" xfId="0" applyFont="1" applyBorder="1"/>
    <xf numFmtId="0" fontId="0" fillId="0" borderId="0" xfId="0" applyFont="1" applyBorder="1" applyAlignment="1"/>
    <xf numFmtId="0" fontId="6" fillId="0" borderId="0" xfId="0" applyFont="1" applyFill="1" applyBorder="1" applyAlignment="1">
      <alignment vertical="center"/>
    </xf>
    <xf numFmtId="0" fontId="0" fillId="0" borderId="0" xfId="0" applyFont="1" applyFill="1" applyBorder="1"/>
    <xf numFmtId="0" fontId="0" fillId="0" borderId="0" xfId="0" applyFont="1" applyFill="1" applyBorder="1" applyAlignment="1">
      <alignment horizontal="center" vertical="center"/>
    </xf>
    <xf numFmtId="165" fontId="0" fillId="0" borderId="0" xfId="0" applyNumberFormat="1" applyFont="1" applyFill="1" applyBorder="1" applyAlignment="1">
      <alignment horizontal="center" vertical="center"/>
    </xf>
    <xf numFmtId="165" fontId="0" fillId="0" borderId="0" xfId="0" applyNumberFormat="1" applyFont="1" applyFill="1" applyBorder="1"/>
    <xf numFmtId="0" fontId="6" fillId="0" borderId="0" xfId="0" applyFont="1" applyFill="1" applyBorder="1" applyAlignment="1"/>
    <xf numFmtId="0" fontId="5" fillId="0" borderId="0" xfId="0" applyFont="1" applyFill="1" applyBorder="1" applyAlignment="1">
      <alignment vertical="center"/>
    </xf>
    <xf numFmtId="0" fontId="0" fillId="0" borderId="0" xfId="0" applyFont="1" applyFill="1" applyBorder="1" applyAlignment="1"/>
    <xf numFmtId="14" fontId="0" fillId="0" borderId="0" xfId="0" applyNumberFormat="1"/>
    <xf numFmtId="0" fontId="1" fillId="8" borderId="1" xfId="0" applyFont="1" applyFill="1" applyBorder="1"/>
    <xf numFmtId="0" fontId="3" fillId="7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/>
    </xf>
    <xf numFmtId="165" fontId="3" fillId="7" borderId="1" xfId="0" applyNumberFormat="1" applyFont="1" applyFill="1" applyBorder="1" applyAlignment="1">
      <alignment horizontal="center" vertical="center"/>
    </xf>
    <xf numFmtId="165" fontId="3" fillId="7" borderId="1" xfId="0" applyNumberFormat="1" applyFont="1" applyFill="1" applyBorder="1"/>
    <xf numFmtId="0" fontId="2" fillId="2" borderId="1" xfId="0" applyFont="1" applyFill="1" applyBorder="1" applyAlignment="1">
      <alignment horizontal="center"/>
    </xf>
    <xf numFmtId="0" fontId="2" fillId="4" borderId="0" xfId="0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2" fillId="2" borderId="4" xfId="0" applyFont="1" applyFill="1" applyBorder="1" applyAlignment="1">
      <alignment horizontal="center"/>
    </xf>
    <xf numFmtId="164" fontId="1" fillId="5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8D061-7437-4CA0-9295-C013D8B05A9F}">
  <dimension ref="A3:N47"/>
  <sheetViews>
    <sheetView zoomScale="102" workbookViewId="0">
      <selection activeCell="B21" sqref="B21"/>
    </sheetView>
  </sheetViews>
  <sheetFormatPr defaultRowHeight="14.5" x14ac:dyDescent="0.35"/>
  <cols>
    <col min="2" max="2" width="17.7265625" bestFit="1" customWidth="1"/>
    <col min="3" max="3" width="12.36328125" style="1" bestFit="1" customWidth="1"/>
    <col min="4" max="4" width="13.54296875" bestFit="1" customWidth="1"/>
    <col min="6" max="6" width="8.7265625" style="3"/>
    <col min="7" max="7" width="9.6328125" style="4" bestFit="1" customWidth="1"/>
    <col min="8" max="8" width="10.1796875" style="2" bestFit="1" customWidth="1"/>
    <col min="9" max="9" width="7" bestFit="1" customWidth="1"/>
    <col min="11" max="11" width="9.90625" customWidth="1"/>
    <col min="12" max="12" width="9.54296875" customWidth="1"/>
    <col min="13" max="13" width="11.36328125" customWidth="1"/>
  </cols>
  <sheetData>
    <row r="3" spans="1:11" ht="15.5" x14ac:dyDescent="0.35">
      <c r="C3" s="59" t="s">
        <v>0</v>
      </c>
      <c r="D3" s="59"/>
      <c r="E3" s="59"/>
      <c r="F3" s="59"/>
      <c r="G3" s="59"/>
      <c r="H3" s="59"/>
      <c r="I3" s="59"/>
    </row>
    <row r="4" spans="1:11" x14ac:dyDescent="0.35">
      <c r="C4" s="14"/>
      <c r="D4" s="5"/>
      <c r="E4" s="5"/>
      <c r="F4" s="6"/>
      <c r="G4" s="7"/>
      <c r="H4" s="8"/>
      <c r="I4" s="5"/>
    </row>
    <row r="5" spans="1:11" ht="15.5" x14ac:dyDescent="0.35">
      <c r="C5" s="60" t="s">
        <v>32</v>
      </c>
      <c r="D5" s="60"/>
      <c r="E5" s="60"/>
      <c r="F5" s="60"/>
      <c r="G5" s="60"/>
      <c r="H5" s="60"/>
      <c r="I5" s="60"/>
    </row>
    <row r="6" spans="1:11" x14ac:dyDescent="0.35">
      <c r="A6" s="5"/>
      <c r="C6" s="20"/>
      <c r="D6" s="21"/>
      <c r="E6" s="21"/>
      <c r="F6" s="21"/>
      <c r="G6" s="22"/>
      <c r="H6" s="22"/>
      <c r="I6" s="21"/>
      <c r="J6" s="5"/>
    </row>
    <row r="7" spans="1:11" x14ac:dyDescent="0.35">
      <c r="C7" s="23" t="s">
        <v>1</v>
      </c>
      <c r="D7" s="24" t="s">
        <v>25</v>
      </c>
      <c r="E7" s="24" t="s">
        <v>2</v>
      </c>
      <c r="F7" s="24" t="s">
        <v>3</v>
      </c>
      <c r="G7" s="25" t="s">
        <v>4</v>
      </c>
      <c r="H7" s="25" t="s">
        <v>5</v>
      </c>
      <c r="I7" s="24" t="s">
        <v>6</v>
      </c>
      <c r="J7" s="5"/>
      <c r="K7" s="5"/>
    </row>
    <row r="8" spans="1:11" x14ac:dyDescent="0.35">
      <c r="C8" s="19"/>
      <c r="D8" s="15"/>
      <c r="E8" s="15"/>
      <c r="F8" s="16"/>
      <c r="G8" s="17"/>
      <c r="H8" s="18"/>
      <c r="I8" s="15"/>
    </row>
    <row r="9" spans="1:11" x14ac:dyDescent="0.35">
      <c r="C9" s="11">
        <v>45292</v>
      </c>
      <c r="D9" s="12" t="s">
        <v>7</v>
      </c>
      <c r="E9" s="12" t="s">
        <v>8</v>
      </c>
      <c r="F9" s="9">
        <v>10</v>
      </c>
      <c r="G9" s="10">
        <v>40</v>
      </c>
      <c r="H9" s="13">
        <f t="shared" ref="H9:H14" si="0">F9*G9</f>
        <v>400</v>
      </c>
      <c r="I9" s="12" t="s">
        <v>19</v>
      </c>
    </row>
    <row r="10" spans="1:11" x14ac:dyDescent="0.35">
      <c r="C10" s="11">
        <v>45292</v>
      </c>
      <c r="D10" s="12" t="s">
        <v>9</v>
      </c>
      <c r="E10" s="12" t="s">
        <v>10</v>
      </c>
      <c r="F10" s="9">
        <v>5</v>
      </c>
      <c r="G10" s="10">
        <v>30</v>
      </c>
      <c r="H10" s="13">
        <f t="shared" si="0"/>
        <v>150</v>
      </c>
      <c r="I10" s="12" t="s">
        <v>20</v>
      </c>
    </row>
    <row r="11" spans="1:11" x14ac:dyDescent="0.35">
      <c r="C11" s="11">
        <v>45293</v>
      </c>
      <c r="D11" s="12" t="s">
        <v>13</v>
      </c>
      <c r="E11" s="12" t="s">
        <v>14</v>
      </c>
      <c r="F11" s="9">
        <v>2</v>
      </c>
      <c r="G11" s="10">
        <v>550</v>
      </c>
      <c r="H11" s="13">
        <f t="shared" si="0"/>
        <v>1100</v>
      </c>
      <c r="I11" s="12" t="s">
        <v>22</v>
      </c>
    </row>
    <row r="12" spans="1:11" x14ac:dyDescent="0.35">
      <c r="C12" s="11">
        <v>45293</v>
      </c>
      <c r="D12" s="12" t="s">
        <v>11</v>
      </c>
      <c r="E12" s="12" t="s">
        <v>12</v>
      </c>
      <c r="F12" s="9">
        <v>8</v>
      </c>
      <c r="G12" s="10">
        <v>20</v>
      </c>
      <c r="H12" s="13">
        <f t="shared" si="0"/>
        <v>160</v>
      </c>
      <c r="I12" s="12" t="s">
        <v>21</v>
      </c>
    </row>
    <row r="13" spans="1:11" x14ac:dyDescent="0.35">
      <c r="C13" s="11">
        <v>45294</v>
      </c>
      <c r="D13" s="12" t="s">
        <v>15</v>
      </c>
      <c r="E13" s="12" t="s">
        <v>16</v>
      </c>
      <c r="F13" s="9">
        <v>6</v>
      </c>
      <c r="G13" s="10">
        <v>80</v>
      </c>
      <c r="H13" s="13">
        <f t="shared" si="0"/>
        <v>480</v>
      </c>
      <c r="I13" s="12" t="s">
        <v>23</v>
      </c>
    </row>
    <row r="14" spans="1:11" x14ac:dyDescent="0.35">
      <c r="C14" s="11">
        <v>45294</v>
      </c>
      <c r="D14" s="12" t="s">
        <v>17</v>
      </c>
      <c r="E14" s="12" t="s">
        <v>18</v>
      </c>
      <c r="F14" s="9">
        <v>3</v>
      </c>
      <c r="G14" s="10">
        <v>120</v>
      </c>
      <c r="H14" s="13">
        <f t="shared" si="0"/>
        <v>360</v>
      </c>
      <c r="I14" s="12" t="s">
        <v>24</v>
      </c>
      <c r="J14" s="5"/>
    </row>
    <row r="15" spans="1:11" x14ac:dyDescent="0.35">
      <c r="C15" s="14"/>
      <c r="E15" s="5"/>
      <c r="F15" s="6"/>
      <c r="G15" s="7"/>
      <c r="H15" s="8"/>
      <c r="I15" s="5"/>
    </row>
    <row r="19" spans="3:14" ht="15.5" x14ac:dyDescent="0.35">
      <c r="C19" s="26"/>
      <c r="D19" s="26"/>
      <c r="E19" s="26"/>
      <c r="F19" s="26"/>
      <c r="G19" s="26"/>
      <c r="H19" s="26"/>
      <c r="I19" s="26"/>
      <c r="J19" s="31"/>
      <c r="K19" s="36"/>
      <c r="L19" s="36"/>
      <c r="M19" s="36"/>
      <c r="N19" s="31"/>
    </row>
    <row r="20" spans="3:14" x14ac:dyDescent="0.35">
      <c r="C20" s="32"/>
      <c r="D20" s="31"/>
      <c r="E20" s="31"/>
      <c r="F20" s="33"/>
      <c r="G20" s="34"/>
      <c r="H20" s="35"/>
      <c r="I20" s="31"/>
      <c r="J20" s="31"/>
      <c r="K20" s="31"/>
      <c r="L20" s="31"/>
      <c r="M20" s="31"/>
      <c r="N20" s="31"/>
    </row>
    <row r="21" spans="3:14" x14ac:dyDescent="0.35">
      <c r="C21" s="20"/>
      <c r="D21" s="21"/>
      <c r="E21" s="21"/>
      <c r="F21" s="21"/>
      <c r="G21" s="22"/>
      <c r="H21" s="22"/>
      <c r="I21" s="21"/>
      <c r="J21" s="31"/>
      <c r="K21" s="21"/>
      <c r="L21" s="22"/>
      <c r="M21" s="22"/>
      <c r="N21" s="31"/>
    </row>
    <row r="22" spans="3:14" x14ac:dyDescent="0.35">
      <c r="C22" s="32"/>
      <c r="D22" s="31"/>
      <c r="E22" s="31"/>
      <c r="F22" s="33"/>
      <c r="G22" s="34"/>
      <c r="H22" s="35"/>
      <c r="I22" s="31"/>
      <c r="J22" s="31"/>
      <c r="K22" s="33"/>
      <c r="L22" s="34"/>
      <c r="M22" s="35"/>
      <c r="N22" s="31"/>
    </row>
    <row r="23" spans="3:14" x14ac:dyDescent="0.35">
      <c r="C23" s="32"/>
      <c r="D23" s="31"/>
      <c r="E23" s="31"/>
      <c r="F23" s="33"/>
      <c r="G23" s="34"/>
      <c r="H23" s="35"/>
      <c r="I23" s="31"/>
      <c r="J23" s="31"/>
      <c r="K23" s="33"/>
      <c r="L23" s="34"/>
      <c r="M23" s="35"/>
      <c r="N23" s="31"/>
    </row>
    <row r="24" spans="3:14" x14ac:dyDescent="0.35">
      <c r="C24" s="32"/>
      <c r="D24" s="31"/>
      <c r="E24" s="31"/>
      <c r="F24" s="33"/>
      <c r="G24" s="34"/>
      <c r="H24" s="35"/>
      <c r="I24" s="31"/>
      <c r="J24" s="31"/>
      <c r="K24" s="33"/>
      <c r="L24" s="34"/>
      <c r="M24" s="35"/>
      <c r="N24" s="31"/>
    </row>
    <row r="25" spans="3:14" x14ac:dyDescent="0.35">
      <c r="C25" s="32"/>
      <c r="D25" s="31"/>
      <c r="E25" s="31"/>
      <c r="F25" s="33"/>
      <c r="G25" s="34"/>
      <c r="H25" s="35"/>
      <c r="I25" s="31"/>
      <c r="J25" s="31"/>
      <c r="K25" s="33"/>
      <c r="L25" s="34"/>
      <c r="M25" s="35"/>
      <c r="N25" s="31"/>
    </row>
    <row r="26" spans="3:14" x14ac:dyDescent="0.35">
      <c r="C26" s="32"/>
      <c r="D26" s="31"/>
      <c r="E26" s="31"/>
      <c r="F26" s="33"/>
      <c r="G26" s="34"/>
      <c r="H26" s="35"/>
      <c r="I26" s="31"/>
      <c r="J26" s="31"/>
      <c r="K26" s="33"/>
      <c r="L26" s="34"/>
      <c r="M26" s="35"/>
      <c r="N26" s="31"/>
    </row>
    <row r="27" spans="3:14" x14ac:dyDescent="0.35">
      <c r="C27" s="32"/>
      <c r="D27" s="31"/>
      <c r="E27" s="31"/>
      <c r="F27" s="33"/>
      <c r="G27" s="34"/>
      <c r="H27" s="35"/>
      <c r="I27" s="31"/>
      <c r="J27" s="31"/>
      <c r="K27" s="33"/>
      <c r="L27" s="34"/>
      <c r="M27" s="35"/>
      <c r="N27" s="31"/>
    </row>
    <row r="28" spans="3:14" x14ac:dyDescent="0.35">
      <c r="C28" s="32"/>
      <c r="D28" s="31"/>
      <c r="E28" s="31"/>
      <c r="F28" s="33"/>
      <c r="G28" s="34"/>
      <c r="H28" s="35"/>
      <c r="I28" s="31"/>
      <c r="J28" s="31"/>
      <c r="K28" s="33"/>
      <c r="L28" s="34"/>
      <c r="M28" s="35"/>
      <c r="N28" s="31"/>
    </row>
    <row r="33" spans="2:10" ht="15.5" x14ac:dyDescent="0.35">
      <c r="B33" s="31"/>
      <c r="C33" s="37"/>
      <c r="D33" s="26"/>
      <c r="E33" s="26"/>
      <c r="F33" s="26"/>
      <c r="G33" s="26"/>
      <c r="H33" s="26"/>
      <c r="I33" s="26"/>
      <c r="J33" s="26"/>
    </row>
    <row r="34" spans="2:10" x14ac:dyDescent="0.35">
      <c r="B34" s="31"/>
      <c r="C34" s="32"/>
      <c r="D34" s="31"/>
      <c r="E34" s="31"/>
      <c r="F34" s="33"/>
      <c r="G34" s="34"/>
      <c r="H34" s="35"/>
      <c r="I34" s="31"/>
    </row>
    <row r="35" spans="2:10" x14ac:dyDescent="0.35">
      <c r="B35" s="31"/>
      <c r="C35" s="20"/>
      <c r="D35" s="21"/>
      <c r="E35" s="21"/>
      <c r="F35" s="21"/>
      <c r="G35" s="22"/>
      <c r="H35" s="22"/>
      <c r="I35" s="21"/>
    </row>
    <row r="36" spans="2:10" x14ac:dyDescent="0.35">
      <c r="B36" s="31"/>
      <c r="C36" s="32"/>
      <c r="D36" s="31"/>
      <c r="E36" s="31"/>
      <c r="F36" s="33"/>
      <c r="G36" s="34"/>
      <c r="H36" s="35"/>
      <c r="I36" s="31"/>
    </row>
    <row r="37" spans="2:10" x14ac:dyDescent="0.35">
      <c r="B37" s="31"/>
      <c r="C37" s="32"/>
      <c r="D37" s="31"/>
      <c r="E37" s="31"/>
      <c r="F37" s="33"/>
      <c r="G37" s="34"/>
      <c r="H37" s="35"/>
      <c r="I37" s="31"/>
    </row>
    <row r="38" spans="2:10" x14ac:dyDescent="0.35">
      <c r="B38" s="31"/>
      <c r="C38" s="32"/>
      <c r="D38" s="31"/>
      <c r="E38" s="31"/>
      <c r="F38" s="33"/>
      <c r="G38" s="34"/>
      <c r="H38" s="35"/>
      <c r="I38" s="31"/>
    </row>
    <row r="39" spans="2:10" x14ac:dyDescent="0.35">
      <c r="B39" s="31"/>
      <c r="C39" s="32"/>
      <c r="D39" s="31"/>
      <c r="E39" s="31"/>
      <c r="F39" s="33"/>
      <c r="G39" s="34"/>
      <c r="H39" s="35"/>
      <c r="I39" s="31"/>
    </row>
    <row r="40" spans="2:10" x14ac:dyDescent="0.35">
      <c r="B40" s="31"/>
      <c r="C40" s="32"/>
      <c r="D40" s="31"/>
      <c r="E40" s="31"/>
      <c r="F40" s="33"/>
      <c r="G40" s="34"/>
      <c r="H40" s="35"/>
      <c r="I40" s="31"/>
    </row>
    <row r="41" spans="2:10" x14ac:dyDescent="0.35">
      <c r="B41" s="31"/>
      <c r="C41" s="32"/>
      <c r="D41" s="31"/>
      <c r="E41" s="31"/>
      <c r="F41" s="33"/>
      <c r="G41" s="34"/>
      <c r="H41" s="35"/>
      <c r="I41" s="31"/>
    </row>
    <row r="42" spans="2:10" x14ac:dyDescent="0.35">
      <c r="B42" s="31"/>
      <c r="C42" s="32"/>
      <c r="D42" s="31"/>
      <c r="E42" s="31"/>
      <c r="F42" s="33"/>
      <c r="G42" s="34"/>
      <c r="H42" s="35"/>
      <c r="I42" s="31"/>
    </row>
    <row r="43" spans="2:10" x14ac:dyDescent="0.35">
      <c r="B43" s="31"/>
      <c r="C43" s="32"/>
      <c r="D43" s="31"/>
      <c r="E43" s="31"/>
      <c r="F43" s="33"/>
      <c r="G43" s="34"/>
      <c r="H43" s="35"/>
      <c r="I43" s="31"/>
    </row>
    <row r="44" spans="2:10" x14ac:dyDescent="0.35">
      <c r="B44" s="38"/>
      <c r="C44" s="39"/>
      <c r="D44" s="38"/>
      <c r="E44" s="38"/>
      <c r="F44" s="40"/>
      <c r="G44" s="22"/>
      <c r="H44" s="35"/>
      <c r="I44" s="31"/>
    </row>
    <row r="45" spans="2:10" x14ac:dyDescent="0.35">
      <c r="B45" s="38"/>
      <c r="C45" s="39"/>
      <c r="D45" s="38"/>
      <c r="E45" s="38"/>
      <c r="F45" s="21"/>
      <c r="G45" s="41"/>
      <c r="H45" s="35"/>
      <c r="I45" s="31"/>
    </row>
    <row r="46" spans="2:10" x14ac:dyDescent="0.35">
      <c r="B46" s="38"/>
      <c r="C46" s="42"/>
      <c r="D46" s="38"/>
      <c r="E46" s="38"/>
      <c r="F46" s="21"/>
      <c r="G46" s="22"/>
      <c r="H46" s="35"/>
      <c r="I46" s="31"/>
    </row>
    <row r="47" spans="2:10" x14ac:dyDescent="0.35">
      <c r="B47" s="31"/>
      <c r="C47" s="32"/>
      <c r="D47" s="31"/>
      <c r="E47" s="31"/>
      <c r="F47" s="33"/>
      <c r="G47" s="34"/>
      <c r="H47" s="35"/>
      <c r="I47" s="31"/>
    </row>
  </sheetData>
  <sortState ref="K23:M28">
    <sortCondition descending="1" ref="M23"/>
  </sortState>
  <mergeCells count="2">
    <mergeCell ref="C3:I3"/>
    <mergeCell ref="C5:I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40214-B3B9-4021-AC79-ED009C56353A}">
  <sheetPr filterMode="1"/>
  <dimension ref="C2:R50"/>
  <sheetViews>
    <sheetView workbookViewId="0">
      <selection activeCell="L16" sqref="L16"/>
    </sheetView>
  </sheetViews>
  <sheetFormatPr defaultRowHeight="14.5" x14ac:dyDescent="0.35"/>
  <cols>
    <col min="3" max="3" width="10.08984375" bestFit="1" customWidth="1"/>
    <col min="4" max="4" width="13.7265625" bestFit="1" customWidth="1"/>
    <col min="5" max="5" width="10.6328125" bestFit="1" customWidth="1"/>
    <col min="6" max="6" width="8.1796875" bestFit="1" customWidth="1"/>
    <col min="8" max="8" width="10.6328125" bestFit="1" customWidth="1"/>
    <col min="11" max="11" width="9.81640625" customWidth="1"/>
    <col min="12" max="12" width="10.08984375" bestFit="1" customWidth="1"/>
    <col min="13" max="13" width="10.90625" customWidth="1"/>
    <col min="14" max="14" width="9.1796875" bestFit="1" customWidth="1"/>
    <col min="17" max="17" width="10.6328125" bestFit="1" customWidth="1"/>
  </cols>
  <sheetData>
    <row r="2" spans="3:18" ht="15.5" x14ac:dyDescent="0.35">
      <c r="C2" s="50"/>
      <c r="D2" s="50"/>
      <c r="E2" s="50"/>
      <c r="F2" s="50"/>
      <c r="G2" s="50"/>
      <c r="H2" s="50"/>
      <c r="I2" s="50"/>
      <c r="L2" s="31"/>
      <c r="M2" s="31"/>
      <c r="N2" s="31"/>
      <c r="O2" s="31"/>
      <c r="P2" s="31"/>
      <c r="Q2" s="31"/>
      <c r="R2" s="31"/>
    </row>
    <row r="3" spans="3:18" ht="15.5" x14ac:dyDescent="0.35">
      <c r="C3" s="64" t="s">
        <v>0</v>
      </c>
      <c r="D3" s="64"/>
      <c r="E3" s="64"/>
      <c r="F3" s="64"/>
      <c r="G3" s="64"/>
      <c r="H3" s="64"/>
      <c r="I3" s="64"/>
      <c r="J3" s="43"/>
      <c r="K3" s="44"/>
      <c r="L3" s="36"/>
      <c r="M3" s="36"/>
      <c r="N3" s="36"/>
      <c r="O3" s="36"/>
      <c r="P3" s="36"/>
      <c r="Q3" s="36"/>
      <c r="R3" s="36"/>
    </row>
    <row r="4" spans="3:18" ht="15.5" x14ac:dyDescent="0.35">
      <c r="C4" s="60" t="s">
        <v>30</v>
      </c>
      <c r="D4" s="60"/>
      <c r="E4" s="60"/>
      <c r="F4" s="60"/>
      <c r="G4" s="60"/>
      <c r="H4" s="60"/>
      <c r="I4" s="60"/>
      <c r="J4" s="43"/>
      <c r="K4" s="43"/>
      <c r="L4" s="46"/>
      <c r="M4" s="46"/>
      <c r="N4" s="31"/>
      <c r="O4" s="31"/>
      <c r="P4" s="31"/>
      <c r="Q4" s="31"/>
      <c r="R4" s="31"/>
    </row>
    <row r="5" spans="3:18" x14ac:dyDescent="0.35">
      <c r="C5" s="65" t="s">
        <v>37</v>
      </c>
      <c r="D5" s="65"/>
      <c r="E5" s="65"/>
      <c r="F5" s="65"/>
      <c r="G5" s="65"/>
      <c r="H5" s="65"/>
      <c r="I5" s="65"/>
      <c r="K5" s="52"/>
      <c r="L5" s="20"/>
      <c r="M5" s="21"/>
      <c r="N5" s="21"/>
      <c r="O5" s="21"/>
      <c r="P5" s="22"/>
      <c r="Q5" s="22"/>
      <c r="R5" s="21"/>
    </row>
    <row r="6" spans="3:18" x14ac:dyDescent="0.35">
      <c r="C6" s="32"/>
      <c r="D6" s="31"/>
      <c r="E6" s="31"/>
      <c r="F6" s="33"/>
      <c r="G6" s="34"/>
      <c r="H6" s="35"/>
      <c r="I6" s="31"/>
      <c r="K6" s="46"/>
      <c r="L6" s="32"/>
      <c r="M6" s="31"/>
      <c r="N6" s="31"/>
      <c r="O6" s="33"/>
      <c r="P6" s="34"/>
      <c r="Q6" s="35"/>
      <c r="R6" s="31"/>
    </row>
    <row r="7" spans="3:18" x14ac:dyDescent="0.35">
      <c r="C7" s="23" t="s">
        <v>1</v>
      </c>
      <c r="D7" s="24" t="s">
        <v>25</v>
      </c>
      <c r="E7" s="24" t="s">
        <v>2</v>
      </c>
      <c r="F7" s="24" t="s">
        <v>3</v>
      </c>
      <c r="G7" s="25" t="s">
        <v>4</v>
      </c>
      <c r="H7" s="25" t="s">
        <v>5</v>
      </c>
      <c r="I7" s="24" t="s">
        <v>6</v>
      </c>
      <c r="K7" s="47"/>
      <c r="L7" s="32"/>
      <c r="M7" s="31"/>
      <c r="N7" s="31"/>
      <c r="O7" s="33"/>
      <c r="P7" s="34"/>
      <c r="Q7" s="35"/>
      <c r="R7" s="31"/>
    </row>
    <row r="8" spans="3:18" x14ac:dyDescent="0.35">
      <c r="C8" s="19"/>
      <c r="D8" s="15"/>
      <c r="E8" s="15"/>
      <c r="F8" s="16"/>
      <c r="G8" s="17"/>
      <c r="H8" s="18"/>
      <c r="I8" s="15"/>
      <c r="K8" s="47"/>
      <c r="L8" s="32"/>
      <c r="M8" s="31"/>
      <c r="N8" s="31"/>
      <c r="O8" s="33"/>
      <c r="P8" s="34"/>
      <c r="Q8" s="35"/>
      <c r="R8" s="31"/>
    </row>
    <row r="9" spans="3:18" x14ac:dyDescent="0.35">
      <c r="C9" s="11">
        <v>45292</v>
      </c>
      <c r="D9" s="12" t="s">
        <v>7</v>
      </c>
      <c r="E9" s="12" t="s">
        <v>8</v>
      </c>
      <c r="F9" s="9">
        <v>10</v>
      </c>
      <c r="G9" s="10">
        <v>40</v>
      </c>
      <c r="H9" s="13">
        <f t="shared" ref="H9:H14" si="0">F9*G9</f>
        <v>400</v>
      </c>
      <c r="I9" s="12" t="s">
        <v>19</v>
      </c>
      <c r="K9" s="47"/>
      <c r="L9" s="32"/>
      <c r="M9" s="31"/>
      <c r="N9" s="31"/>
      <c r="O9" s="33"/>
      <c r="P9" s="34"/>
      <c r="Q9" s="35"/>
      <c r="R9" s="31"/>
    </row>
    <row r="10" spans="3:18" x14ac:dyDescent="0.35">
      <c r="C10" s="11">
        <v>45294</v>
      </c>
      <c r="D10" s="12" t="s">
        <v>17</v>
      </c>
      <c r="E10" s="12" t="s">
        <v>18</v>
      </c>
      <c r="F10" s="9">
        <v>3</v>
      </c>
      <c r="G10" s="10">
        <v>120</v>
      </c>
      <c r="H10" s="13">
        <f t="shared" si="0"/>
        <v>360</v>
      </c>
      <c r="I10" s="12" t="s">
        <v>24</v>
      </c>
      <c r="K10" s="47"/>
      <c r="L10" s="32"/>
      <c r="M10" s="31"/>
      <c r="N10" s="31"/>
      <c r="O10" s="33"/>
      <c r="P10" s="34"/>
      <c r="Q10" s="35"/>
      <c r="R10" s="31"/>
    </row>
    <row r="11" spans="3:18" x14ac:dyDescent="0.35">
      <c r="C11" s="11">
        <v>45292</v>
      </c>
      <c r="D11" s="12" t="s">
        <v>9</v>
      </c>
      <c r="E11" s="12" t="s">
        <v>10</v>
      </c>
      <c r="F11" s="9">
        <v>5</v>
      </c>
      <c r="G11" s="10">
        <v>30</v>
      </c>
      <c r="H11" s="13">
        <f t="shared" si="0"/>
        <v>150</v>
      </c>
      <c r="I11" s="12" t="s">
        <v>20</v>
      </c>
      <c r="K11" s="47"/>
      <c r="L11" s="32"/>
      <c r="M11" s="31"/>
      <c r="N11" s="31"/>
      <c r="O11" s="33"/>
      <c r="P11" s="34"/>
      <c r="Q11" s="35"/>
      <c r="R11" s="31"/>
    </row>
    <row r="12" spans="3:18" x14ac:dyDescent="0.35">
      <c r="C12" s="11">
        <v>45293</v>
      </c>
      <c r="D12" s="12" t="s">
        <v>15</v>
      </c>
      <c r="E12" s="12" t="s">
        <v>16</v>
      </c>
      <c r="F12" s="9">
        <v>6</v>
      </c>
      <c r="G12" s="10">
        <v>80</v>
      </c>
      <c r="H12" s="13">
        <f t="shared" si="0"/>
        <v>480</v>
      </c>
      <c r="I12" s="12" t="s">
        <v>23</v>
      </c>
      <c r="K12" s="47"/>
      <c r="L12" s="32"/>
      <c r="M12" s="31"/>
      <c r="N12" s="31"/>
      <c r="O12" s="33"/>
      <c r="P12" s="34"/>
      <c r="Q12" s="35"/>
      <c r="R12" s="31"/>
    </row>
    <row r="13" spans="3:18" x14ac:dyDescent="0.35">
      <c r="C13" s="11">
        <v>45293</v>
      </c>
      <c r="D13" s="12" t="s">
        <v>13</v>
      </c>
      <c r="E13" s="12" t="s">
        <v>14</v>
      </c>
      <c r="F13" s="9">
        <v>2</v>
      </c>
      <c r="G13" s="10">
        <v>550</v>
      </c>
      <c r="H13" s="13">
        <f t="shared" si="0"/>
        <v>1100</v>
      </c>
      <c r="I13" s="12" t="s">
        <v>22</v>
      </c>
      <c r="K13" s="47"/>
      <c r="L13" s="48"/>
      <c r="M13" s="49"/>
      <c r="N13" s="31"/>
      <c r="O13" s="31"/>
      <c r="P13" s="31"/>
      <c r="Q13" s="31"/>
      <c r="R13" s="31"/>
    </row>
    <row r="14" spans="3:18" x14ac:dyDescent="0.35">
      <c r="C14" s="11">
        <v>45293</v>
      </c>
      <c r="D14" s="12" t="s">
        <v>11</v>
      </c>
      <c r="E14" s="12" t="s">
        <v>12</v>
      </c>
      <c r="F14" s="9">
        <v>8</v>
      </c>
      <c r="G14" s="10">
        <v>20</v>
      </c>
      <c r="H14" s="13">
        <f t="shared" si="0"/>
        <v>160</v>
      </c>
      <c r="I14" s="12" t="s">
        <v>21</v>
      </c>
      <c r="K14" s="47"/>
      <c r="L14" s="48"/>
      <c r="M14" s="49"/>
    </row>
    <row r="15" spans="3:18" x14ac:dyDescent="0.35">
      <c r="C15" s="14"/>
      <c r="D15" s="5"/>
      <c r="E15" s="5"/>
      <c r="F15" s="6"/>
      <c r="G15" s="7"/>
      <c r="H15" s="8"/>
      <c r="I15" s="5"/>
    </row>
    <row r="16" spans="3:18" x14ac:dyDescent="0.35">
      <c r="C16" s="14"/>
      <c r="D16" s="5"/>
      <c r="E16" s="5"/>
      <c r="F16" s="6"/>
      <c r="G16" s="7"/>
      <c r="H16" s="8"/>
      <c r="I16" s="5"/>
    </row>
    <row r="17" spans="3:9" x14ac:dyDescent="0.35">
      <c r="C17" s="63" t="s">
        <v>26</v>
      </c>
      <c r="D17" s="63"/>
      <c r="E17" s="63"/>
      <c r="F17" s="63"/>
      <c r="G17" s="63"/>
      <c r="H17" s="63"/>
      <c r="I17" s="63"/>
    </row>
    <row r="19" spans="3:9" x14ac:dyDescent="0.35">
      <c r="C19" s="23" t="s">
        <v>1</v>
      </c>
      <c r="D19" s="24" t="s">
        <v>25</v>
      </c>
      <c r="E19" s="24" t="s">
        <v>2</v>
      </c>
      <c r="F19" s="24" t="s">
        <v>3</v>
      </c>
      <c r="G19" s="25" t="s">
        <v>4</v>
      </c>
      <c r="H19" s="25" t="s">
        <v>5</v>
      </c>
      <c r="I19" s="24" t="s">
        <v>6</v>
      </c>
    </row>
    <row r="20" spans="3:9" x14ac:dyDescent="0.35">
      <c r="C20" s="19"/>
      <c r="D20" s="15"/>
      <c r="E20" s="15"/>
      <c r="F20" s="16"/>
      <c r="G20" s="17"/>
      <c r="H20" s="18"/>
      <c r="I20" s="15"/>
    </row>
    <row r="21" spans="3:9" x14ac:dyDescent="0.35">
      <c r="C21" s="11">
        <v>45293</v>
      </c>
      <c r="D21" s="12" t="s">
        <v>13</v>
      </c>
      <c r="E21" s="12" t="s">
        <v>14</v>
      </c>
      <c r="F21" s="9">
        <v>2</v>
      </c>
      <c r="G21" s="10">
        <v>550</v>
      </c>
      <c r="H21" s="13">
        <f t="shared" ref="H21:H26" si="1">F21*G21</f>
        <v>1100</v>
      </c>
      <c r="I21" s="12" t="s">
        <v>22</v>
      </c>
    </row>
    <row r="22" spans="3:9" x14ac:dyDescent="0.35">
      <c r="C22" s="11">
        <v>45294</v>
      </c>
      <c r="D22" s="12" t="s">
        <v>15</v>
      </c>
      <c r="E22" s="12" t="s">
        <v>16</v>
      </c>
      <c r="F22" s="9">
        <v>6</v>
      </c>
      <c r="G22" s="10">
        <v>80</v>
      </c>
      <c r="H22" s="13">
        <f t="shared" si="1"/>
        <v>480</v>
      </c>
      <c r="I22" s="12" t="s">
        <v>23</v>
      </c>
    </row>
    <row r="23" spans="3:9" x14ac:dyDescent="0.35">
      <c r="C23" s="11">
        <v>45292</v>
      </c>
      <c r="D23" s="12" t="s">
        <v>7</v>
      </c>
      <c r="E23" s="12" t="s">
        <v>8</v>
      </c>
      <c r="F23" s="9">
        <v>10</v>
      </c>
      <c r="G23" s="10">
        <v>40</v>
      </c>
      <c r="H23" s="13">
        <f t="shared" si="1"/>
        <v>400</v>
      </c>
      <c r="I23" s="12" t="s">
        <v>19</v>
      </c>
    </row>
    <row r="24" spans="3:9" x14ac:dyDescent="0.35">
      <c r="C24" s="11">
        <v>45294</v>
      </c>
      <c r="D24" s="12" t="s">
        <v>17</v>
      </c>
      <c r="E24" s="12" t="s">
        <v>18</v>
      </c>
      <c r="F24" s="9">
        <v>3</v>
      </c>
      <c r="G24" s="10">
        <v>120</v>
      </c>
      <c r="H24" s="13">
        <f t="shared" si="1"/>
        <v>360</v>
      </c>
      <c r="I24" s="12" t="s">
        <v>24</v>
      </c>
    </row>
    <row r="25" spans="3:9" x14ac:dyDescent="0.35">
      <c r="C25" s="11">
        <v>45293</v>
      </c>
      <c r="D25" s="12" t="s">
        <v>11</v>
      </c>
      <c r="E25" s="12" t="s">
        <v>12</v>
      </c>
      <c r="F25" s="9">
        <v>8</v>
      </c>
      <c r="G25" s="10">
        <v>20</v>
      </c>
      <c r="H25" s="13">
        <f t="shared" si="1"/>
        <v>160</v>
      </c>
      <c r="I25" s="12" t="s">
        <v>21</v>
      </c>
    </row>
    <row r="26" spans="3:9" x14ac:dyDescent="0.35">
      <c r="C26" s="11">
        <v>45292</v>
      </c>
      <c r="D26" s="12" t="s">
        <v>9</v>
      </c>
      <c r="E26" s="12" t="s">
        <v>10</v>
      </c>
      <c r="F26" s="9">
        <v>5</v>
      </c>
      <c r="G26" s="10">
        <v>30</v>
      </c>
      <c r="H26" s="13">
        <f t="shared" si="1"/>
        <v>150</v>
      </c>
      <c r="I26" s="12" t="s">
        <v>20</v>
      </c>
    </row>
    <row r="27" spans="3:9" x14ac:dyDescent="0.35">
      <c r="C27" s="33"/>
      <c r="D27" s="34"/>
      <c r="E27" s="35"/>
    </row>
    <row r="28" spans="3:9" x14ac:dyDescent="0.35">
      <c r="C28" s="33"/>
      <c r="D28" s="34"/>
      <c r="E28" s="35"/>
    </row>
    <row r="29" spans="3:9" x14ac:dyDescent="0.35">
      <c r="C29" s="61" t="s">
        <v>35</v>
      </c>
      <c r="D29" s="61"/>
      <c r="E29" s="61"/>
      <c r="F29" s="61"/>
      <c r="G29" s="61"/>
      <c r="H29" s="61"/>
      <c r="I29" s="61"/>
    </row>
    <row r="30" spans="3:9" x14ac:dyDescent="0.35">
      <c r="C30" s="43"/>
      <c r="D30" s="43"/>
    </row>
    <row r="31" spans="3:9" x14ac:dyDescent="0.35">
      <c r="C31" s="23" t="s">
        <v>1</v>
      </c>
      <c r="D31" s="24" t="s">
        <v>25</v>
      </c>
      <c r="E31" s="24" t="s">
        <v>2</v>
      </c>
      <c r="F31" s="24" t="s">
        <v>3</v>
      </c>
      <c r="G31" s="25" t="s">
        <v>4</v>
      </c>
      <c r="H31" s="25" t="s">
        <v>5</v>
      </c>
      <c r="I31" s="24" t="s">
        <v>6</v>
      </c>
    </row>
    <row r="32" spans="3:9" x14ac:dyDescent="0.35">
      <c r="C32" s="19"/>
      <c r="D32" s="15"/>
      <c r="E32" s="15"/>
      <c r="F32" s="16"/>
      <c r="G32" s="17"/>
      <c r="H32" s="18"/>
      <c r="I32" s="15"/>
    </row>
    <row r="33" spans="3:9" x14ac:dyDescent="0.35">
      <c r="C33" s="11">
        <v>45292</v>
      </c>
      <c r="D33" s="12" t="s">
        <v>7</v>
      </c>
      <c r="E33" s="12" t="s">
        <v>8</v>
      </c>
      <c r="F33" s="9">
        <v>10</v>
      </c>
      <c r="G33" s="10">
        <v>40</v>
      </c>
      <c r="H33" s="13">
        <f t="shared" ref="H33:H38" si="2">F33*G33</f>
        <v>400</v>
      </c>
      <c r="I33" s="12" t="s">
        <v>19</v>
      </c>
    </row>
    <row r="34" spans="3:9" x14ac:dyDescent="0.35">
      <c r="C34" s="11">
        <v>45294</v>
      </c>
      <c r="D34" s="12" t="s">
        <v>17</v>
      </c>
      <c r="E34" s="12" t="s">
        <v>18</v>
      </c>
      <c r="F34" s="9">
        <v>3</v>
      </c>
      <c r="G34" s="10">
        <v>120</v>
      </c>
      <c r="H34" s="13">
        <f t="shared" si="2"/>
        <v>360</v>
      </c>
      <c r="I34" s="12" t="s">
        <v>24</v>
      </c>
    </row>
    <row r="35" spans="3:9" x14ac:dyDescent="0.35">
      <c r="C35" s="11">
        <v>45292</v>
      </c>
      <c r="D35" s="12" t="s">
        <v>9</v>
      </c>
      <c r="E35" s="12" t="s">
        <v>10</v>
      </c>
      <c r="F35" s="9">
        <v>5</v>
      </c>
      <c r="G35" s="10">
        <v>30</v>
      </c>
      <c r="H35" s="13">
        <f t="shared" si="2"/>
        <v>150</v>
      </c>
      <c r="I35" s="12" t="s">
        <v>20</v>
      </c>
    </row>
    <row r="36" spans="3:9" x14ac:dyDescent="0.35">
      <c r="C36" s="11">
        <v>45294</v>
      </c>
      <c r="D36" s="12" t="s">
        <v>15</v>
      </c>
      <c r="E36" s="12" t="s">
        <v>16</v>
      </c>
      <c r="F36" s="9">
        <v>6</v>
      </c>
      <c r="G36" s="10">
        <v>80</v>
      </c>
      <c r="H36" s="13">
        <f t="shared" si="2"/>
        <v>480</v>
      </c>
      <c r="I36" s="12" t="s">
        <v>23</v>
      </c>
    </row>
    <row r="37" spans="3:9" x14ac:dyDescent="0.35">
      <c r="C37" s="11">
        <v>45293</v>
      </c>
      <c r="D37" s="12" t="s">
        <v>13</v>
      </c>
      <c r="E37" s="12" t="s">
        <v>14</v>
      </c>
      <c r="F37" s="9">
        <v>2</v>
      </c>
      <c r="G37" s="10">
        <v>550</v>
      </c>
      <c r="H37" s="13">
        <f t="shared" si="2"/>
        <v>1100</v>
      </c>
      <c r="I37" s="12" t="s">
        <v>22</v>
      </c>
    </row>
    <row r="38" spans="3:9" x14ac:dyDescent="0.35">
      <c r="C38" s="11">
        <v>45293</v>
      </c>
      <c r="D38" s="12" t="s">
        <v>11</v>
      </c>
      <c r="E38" s="12" t="s">
        <v>12</v>
      </c>
      <c r="F38" s="9">
        <v>8</v>
      </c>
      <c r="G38" s="10">
        <v>20</v>
      </c>
      <c r="H38" s="13">
        <f t="shared" si="2"/>
        <v>160</v>
      </c>
      <c r="I38" s="12" t="s">
        <v>21</v>
      </c>
    </row>
    <row r="41" spans="3:9" x14ac:dyDescent="0.35">
      <c r="C41" s="62" t="s">
        <v>36</v>
      </c>
      <c r="D41" s="62"/>
      <c r="E41" s="62"/>
      <c r="F41" s="62"/>
      <c r="G41" s="62"/>
      <c r="H41" s="62"/>
      <c r="I41" s="62"/>
    </row>
    <row r="43" spans="3:9" x14ac:dyDescent="0.35">
      <c r="C43" s="23" t="s">
        <v>1</v>
      </c>
      <c r="D43" s="24" t="s">
        <v>25</v>
      </c>
      <c r="E43" s="24" t="s">
        <v>2</v>
      </c>
      <c r="F43" s="24" t="s">
        <v>3</v>
      </c>
      <c r="G43" s="25" t="s">
        <v>4</v>
      </c>
      <c r="H43" s="25" t="s">
        <v>5</v>
      </c>
      <c r="I43" s="24" t="s">
        <v>6</v>
      </c>
    </row>
    <row r="44" spans="3:9" hidden="1" x14ac:dyDescent="0.35">
      <c r="C44" s="19"/>
      <c r="D44" s="15"/>
      <c r="E44" s="15"/>
      <c r="F44" s="16"/>
      <c r="G44" s="17"/>
      <c r="H44" s="18"/>
      <c r="I44" s="15"/>
    </row>
    <row r="45" spans="3:9" hidden="1" x14ac:dyDescent="0.35">
      <c r="C45" s="11">
        <v>45292</v>
      </c>
      <c r="D45" s="12" t="s">
        <v>7</v>
      </c>
      <c r="E45" s="12" t="s">
        <v>8</v>
      </c>
      <c r="F45" s="9">
        <v>10</v>
      </c>
      <c r="G45" s="10">
        <v>40</v>
      </c>
      <c r="H45" s="13">
        <f t="shared" ref="H45:H50" si="3">F45*G45</f>
        <v>400</v>
      </c>
      <c r="I45" s="12" t="s">
        <v>19</v>
      </c>
    </row>
    <row r="46" spans="3:9" x14ac:dyDescent="0.35">
      <c r="C46" s="11">
        <v>45294</v>
      </c>
      <c r="D46" s="12" t="s">
        <v>17</v>
      </c>
      <c r="E46" s="12" t="s">
        <v>18</v>
      </c>
      <c r="F46" s="9">
        <v>3</v>
      </c>
      <c r="G46" s="10">
        <v>120</v>
      </c>
      <c r="H46" s="13">
        <f t="shared" si="3"/>
        <v>360</v>
      </c>
      <c r="I46" s="12" t="s">
        <v>24</v>
      </c>
    </row>
    <row r="47" spans="3:9" hidden="1" x14ac:dyDescent="0.35">
      <c r="C47" s="11">
        <v>45292</v>
      </c>
      <c r="D47" s="12" t="s">
        <v>9</v>
      </c>
      <c r="E47" s="12" t="s">
        <v>10</v>
      </c>
      <c r="F47" s="9">
        <v>5</v>
      </c>
      <c r="G47" s="10">
        <v>30</v>
      </c>
      <c r="H47" s="13">
        <f t="shared" si="3"/>
        <v>150</v>
      </c>
      <c r="I47" s="12" t="s">
        <v>20</v>
      </c>
    </row>
    <row r="48" spans="3:9" hidden="1" x14ac:dyDescent="0.35">
      <c r="C48" s="11">
        <v>45293</v>
      </c>
      <c r="D48" s="12" t="s">
        <v>15</v>
      </c>
      <c r="E48" s="12" t="s">
        <v>16</v>
      </c>
      <c r="F48" s="9">
        <v>6</v>
      </c>
      <c r="G48" s="10">
        <v>80</v>
      </c>
      <c r="H48" s="13">
        <f t="shared" si="3"/>
        <v>480</v>
      </c>
      <c r="I48" s="12" t="s">
        <v>23</v>
      </c>
    </row>
    <row r="49" spans="3:9" x14ac:dyDescent="0.35">
      <c r="C49" s="11">
        <v>45293</v>
      </c>
      <c r="D49" s="12" t="s">
        <v>13</v>
      </c>
      <c r="E49" s="12" t="s">
        <v>14</v>
      </c>
      <c r="F49" s="9">
        <v>2</v>
      </c>
      <c r="G49" s="10">
        <v>550</v>
      </c>
      <c r="H49" s="13">
        <f t="shared" si="3"/>
        <v>1100</v>
      </c>
      <c r="I49" s="12" t="s">
        <v>22</v>
      </c>
    </row>
    <row r="50" spans="3:9" hidden="1" x14ac:dyDescent="0.35">
      <c r="C50" s="11">
        <v>45293</v>
      </c>
      <c r="D50" s="12" t="s">
        <v>11</v>
      </c>
      <c r="E50" s="12" t="s">
        <v>12</v>
      </c>
      <c r="F50" s="9">
        <v>8</v>
      </c>
      <c r="G50" s="10">
        <v>20</v>
      </c>
      <c r="H50" s="13">
        <f t="shared" si="3"/>
        <v>160</v>
      </c>
      <c r="I50" s="12" t="s">
        <v>21</v>
      </c>
    </row>
  </sheetData>
  <autoFilter ref="F43:F50" xr:uid="{88F88BDB-85D5-46D8-8501-B9AF5A05E6F2}">
    <filterColumn colId="0">
      <customFilters>
        <customFilter operator="lessThan" val="5"/>
      </customFilters>
    </filterColumn>
  </autoFilter>
  <sortState ref="C21:I26">
    <sortCondition descending="1" ref="H21"/>
  </sortState>
  <mergeCells count="6">
    <mergeCell ref="C29:I29"/>
    <mergeCell ref="C41:I41"/>
    <mergeCell ref="C17:I17"/>
    <mergeCell ref="C4:I4"/>
    <mergeCell ref="C3:I3"/>
    <mergeCell ref="C5:I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2EF8B-5B46-43D4-A8ED-243F483C1099}">
  <dimension ref="C3:M20"/>
  <sheetViews>
    <sheetView tabSelected="1" workbookViewId="0">
      <selection activeCell="C8" sqref="C8"/>
    </sheetView>
  </sheetViews>
  <sheetFormatPr defaultRowHeight="14.5" x14ac:dyDescent="0.35"/>
  <cols>
    <col min="3" max="3" width="18" bestFit="1" customWidth="1"/>
    <col min="4" max="4" width="10.08984375" bestFit="1" customWidth="1"/>
    <col min="5" max="5" width="13.7265625" bestFit="1" customWidth="1"/>
    <col min="6" max="6" width="9.1796875" bestFit="1" customWidth="1"/>
    <col min="7" max="7" width="8.1796875" bestFit="1" customWidth="1"/>
    <col min="8" max="8" width="9.81640625" bestFit="1" customWidth="1"/>
    <col min="9" max="9" width="10.6328125" bestFit="1" customWidth="1"/>
    <col min="10" max="10" width="7" bestFit="1" customWidth="1"/>
    <col min="13" max="13" width="10.08984375" bestFit="1" customWidth="1"/>
  </cols>
  <sheetData>
    <row r="3" spans="3:13" ht="15.5" x14ac:dyDescent="0.35">
      <c r="D3" s="64" t="s">
        <v>0</v>
      </c>
      <c r="E3" s="64"/>
      <c r="F3" s="64"/>
      <c r="G3" s="64"/>
      <c r="H3" s="64"/>
      <c r="I3" s="64"/>
      <c r="J3" s="64"/>
    </row>
    <row r="4" spans="3:13" ht="15.5" x14ac:dyDescent="0.35">
      <c r="D4" s="51"/>
      <c r="E4" s="45"/>
      <c r="F4" s="45"/>
      <c r="G4" s="45"/>
      <c r="H4" s="45"/>
      <c r="I4" s="45"/>
      <c r="J4" s="45"/>
    </row>
    <row r="5" spans="3:13" ht="15.5" x14ac:dyDescent="0.35">
      <c r="D5" s="60" t="s">
        <v>31</v>
      </c>
      <c r="E5" s="60"/>
      <c r="F5" s="60"/>
      <c r="G5" s="60"/>
      <c r="H5" s="60"/>
      <c r="I5" s="60"/>
      <c r="J5" s="60"/>
      <c r="M5" s="53"/>
    </row>
    <row r="6" spans="3:13" x14ac:dyDescent="0.35">
      <c r="D6" s="1"/>
      <c r="G6" s="3"/>
      <c r="H6" s="4"/>
      <c r="I6" s="2"/>
    </row>
    <row r="7" spans="3:13" x14ac:dyDescent="0.35">
      <c r="D7" s="23" t="s">
        <v>1</v>
      </c>
      <c r="E7" s="24" t="s">
        <v>25</v>
      </c>
      <c r="F7" s="24" t="s">
        <v>2</v>
      </c>
      <c r="G7" s="24" t="s">
        <v>3</v>
      </c>
      <c r="H7" s="25" t="s">
        <v>4</v>
      </c>
      <c r="I7" s="25" t="s">
        <v>5</v>
      </c>
      <c r="J7" s="24" t="s">
        <v>6</v>
      </c>
      <c r="M7" s="53"/>
    </row>
    <row r="8" spans="3:13" x14ac:dyDescent="0.35">
      <c r="D8" s="19"/>
      <c r="E8" s="15"/>
      <c r="F8" s="15"/>
      <c r="G8" s="16"/>
      <c r="H8" s="17"/>
      <c r="I8" s="18"/>
      <c r="J8" s="15"/>
    </row>
    <row r="9" spans="3:13" x14ac:dyDescent="0.35">
      <c r="D9" s="11">
        <v>45292</v>
      </c>
      <c r="E9" s="12" t="s">
        <v>7</v>
      </c>
      <c r="F9" s="12" t="s">
        <v>8</v>
      </c>
      <c r="G9" s="9">
        <v>10</v>
      </c>
      <c r="H9" s="10">
        <v>40</v>
      </c>
      <c r="I9" s="13">
        <f t="shared" ref="I9:I14" si="0">G9*H9</f>
        <v>400</v>
      </c>
      <c r="J9" s="12" t="s">
        <v>19</v>
      </c>
    </row>
    <row r="10" spans="3:13" x14ac:dyDescent="0.35">
      <c r="D10" s="11">
        <v>45294</v>
      </c>
      <c r="E10" s="12" t="s">
        <v>17</v>
      </c>
      <c r="F10" s="12" t="s">
        <v>18</v>
      </c>
      <c r="G10" s="9">
        <v>3</v>
      </c>
      <c r="H10" s="10">
        <v>120</v>
      </c>
      <c r="I10" s="13">
        <f t="shared" si="0"/>
        <v>360</v>
      </c>
      <c r="J10" s="12" t="s">
        <v>24</v>
      </c>
    </row>
    <row r="11" spans="3:13" x14ac:dyDescent="0.35">
      <c r="D11" s="11">
        <v>45292</v>
      </c>
      <c r="E11" s="12" t="s">
        <v>9</v>
      </c>
      <c r="F11" s="12" t="s">
        <v>10</v>
      </c>
      <c r="G11" s="9">
        <v>5</v>
      </c>
      <c r="H11" s="10">
        <v>30</v>
      </c>
      <c r="I11" s="13">
        <f t="shared" si="0"/>
        <v>150</v>
      </c>
      <c r="J11" s="12" t="s">
        <v>20</v>
      </c>
    </row>
    <row r="12" spans="3:13" x14ac:dyDescent="0.35">
      <c r="D12" s="11">
        <v>45294</v>
      </c>
      <c r="E12" s="12" t="s">
        <v>15</v>
      </c>
      <c r="F12" s="12" t="s">
        <v>16</v>
      </c>
      <c r="G12" s="9">
        <v>6</v>
      </c>
      <c r="H12" s="10">
        <v>80</v>
      </c>
      <c r="I12" s="13">
        <f t="shared" si="0"/>
        <v>480</v>
      </c>
      <c r="J12" s="12" t="s">
        <v>23</v>
      </c>
    </row>
    <row r="13" spans="3:13" x14ac:dyDescent="0.35">
      <c r="D13" s="11">
        <v>45293</v>
      </c>
      <c r="E13" s="12" t="s">
        <v>13</v>
      </c>
      <c r="F13" s="12" t="s">
        <v>14</v>
      </c>
      <c r="G13" s="9">
        <v>2</v>
      </c>
      <c r="H13" s="10">
        <v>550</v>
      </c>
      <c r="I13" s="13">
        <f t="shared" si="0"/>
        <v>1100</v>
      </c>
      <c r="J13" s="12" t="s">
        <v>22</v>
      </c>
    </row>
    <row r="14" spans="3:13" x14ac:dyDescent="0.35">
      <c r="D14" s="11">
        <v>45293</v>
      </c>
      <c r="E14" s="12" t="s">
        <v>11</v>
      </c>
      <c r="F14" s="12" t="s">
        <v>12</v>
      </c>
      <c r="G14" s="9">
        <v>8</v>
      </c>
      <c r="H14" s="10">
        <v>20</v>
      </c>
      <c r="I14" s="13">
        <f t="shared" si="0"/>
        <v>160</v>
      </c>
      <c r="J14" s="12" t="s">
        <v>21</v>
      </c>
    </row>
    <row r="15" spans="3:13" x14ac:dyDescent="0.35">
      <c r="D15" s="1"/>
      <c r="G15" s="3"/>
      <c r="H15" s="4"/>
      <c r="I15" s="2"/>
    </row>
    <row r="16" spans="3:13" x14ac:dyDescent="0.35">
      <c r="C16" s="54" t="s">
        <v>27</v>
      </c>
      <c r="D16" s="28"/>
      <c r="E16" s="27"/>
      <c r="F16" s="27"/>
      <c r="G16" s="56">
        <f>SUM(G9:G14)</f>
        <v>34</v>
      </c>
      <c r="H16" s="30"/>
      <c r="I16" s="2"/>
    </row>
    <row r="17" spans="3:9" x14ac:dyDescent="0.35">
      <c r="C17" s="54" t="s">
        <v>28</v>
      </c>
      <c r="D17" s="28"/>
      <c r="E17" s="27"/>
      <c r="F17" s="27"/>
      <c r="G17" s="29"/>
      <c r="H17" s="57">
        <f>AVERAGE(H9:H14)</f>
        <v>140</v>
      </c>
      <c r="I17" s="2"/>
    </row>
    <row r="18" spans="3:9" x14ac:dyDescent="0.35">
      <c r="C18" s="54" t="s">
        <v>29</v>
      </c>
      <c r="D18" s="55">
        <f>COUNT(D9:D14)</f>
        <v>6</v>
      </c>
      <c r="E18" s="27"/>
      <c r="F18" s="27"/>
      <c r="G18" s="29"/>
      <c r="H18" s="30"/>
      <c r="I18" s="2"/>
    </row>
    <row r="19" spans="3:9" x14ac:dyDescent="0.35">
      <c r="C19" s="54" t="s">
        <v>33</v>
      </c>
      <c r="I19" s="58">
        <f>MAX(I9:I14)</f>
        <v>1100</v>
      </c>
    </row>
    <row r="20" spans="3:9" x14ac:dyDescent="0.35">
      <c r="C20" s="54" t="s">
        <v>34</v>
      </c>
      <c r="I20" s="58">
        <f>MIN(I9:I14)</f>
        <v>150</v>
      </c>
    </row>
  </sheetData>
  <mergeCells count="2">
    <mergeCell ref="D5:J5"/>
    <mergeCell ref="D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PART-A</vt:lpstr>
      <vt:lpstr>PART-B</vt:lpstr>
      <vt:lpstr>PART-C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Mahima Dafare</dc:creator>
  <cp:lastModifiedBy>Mahima Dafare</cp:lastModifiedBy>
  <dcterms:created xsi:type="dcterms:W3CDTF">2025-11-26T15:33:45Z</dcterms:created>
  <dcterms:modified xsi:type="dcterms:W3CDTF">2025-11-30T16:16:14Z</dcterms:modified>
</cp:coreProperties>
</file>