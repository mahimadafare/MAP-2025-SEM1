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BA\"/>
    </mc:Choice>
  </mc:AlternateContent>
  <xr:revisionPtr revIDLastSave="0" documentId="13_ncr:1_{A1951694-63A5-4D99-8A43-627113E1456C}" xr6:coauthVersionLast="47" xr6:coauthVersionMax="47" xr10:uidLastSave="{00000000-0000-0000-0000-000000000000}"/>
  <bookViews>
    <workbookView xWindow="-108" yWindow="-108" windowWidth="23256" windowHeight="12456" activeTab="3" xr2:uid="{75AB7911-1AE4-4019-973E-EF1901FD07CE}"/>
  </bookViews>
  <sheets>
    <sheet name="SALES" sheetId="1" r:id="rId1"/>
    <sheet name="MARKETING" sheetId="2" r:id="rId2"/>
    <sheet name="FINANCE" sheetId="3" r:id="rId3"/>
    <sheet name="HR" sheetId="4" r:id="rId4"/>
    <sheet name="INSURANCE" sheetId="5" r:id="rId5"/>
  </sheets>
  <definedNames>
    <definedName name="_xlchart.v1.0" hidden="1">HR!$E$5</definedName>
    <definedName name="_xlchart.v1.1" hidden="1">HR!$E$6:$E$26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4" l="1"/>
  <c r="I29" i="2"/>
  <c r="J30" i="1"/>
  <c r="X12" i="4"/>
  <c r="X11" i="4"/>
  <c r="X10" i="4"/>
  <c r="X9" i="4"/>
  <c r="X8" i="4"/>
  <c r="X7" i="4"/>
  <c r="M23" i="5"/>
  <c r="M22" i="5"/>
  <c r="M21" i="5"/>
  <c r="M20" i="5"/>
  <c r="M19" i="5"/>
  <c r="M15" i="5"/>
  <c r="M14" i="5"/>
  <c r="M9" i="4"/>
  <c r="M7" i="5"/>
  <c r="M8" i="5"/>
  <c r="J24" i="5"/>
  <c r="J23" i="5"/>
  <c r="J22" i="5"/>
  <c r="J21" i="5"/>
  <c r="J17" i="5"/>
  <c r="J16" i="5"/>
  <c r="J15" i="5"/>
  <c r="J11" i="5"/>
  <c r="J10" i="5"/>
  <c r="J9" i="5"/>
  <c r="J8" i="5"/>
  <c r="J7" i="5"/>
  <c r="M23" i="4"/>
  <c r="M22" i="4"/>
  <c r="M21" i="4"/>
  <c r="M20" i="4"/>
  <c r="M19" i="4"/>
  <c r="M15" i="4"/>
  <c r="M14" i="4"/>
  <c r="M8" i="4"/>
  <c r="M7" i="4"/>
  <c r="J24" i="4"/>
  <c r="J23" i="4"/>
  <c r="J22" i="4"/>
  <c r="J21" i="4"/>
  <c r="J17" i="4"/>
  <c r="J16" i="4"/>
  <c r="J15" i="4"/>
  <c r="J11" i="4"/>
  <c r="J10" i="4"/>
  <c r="J9" i="4"/>
  <c r="J8" i="4"/>
  <c r="J7" i="4"/>
  <c r="L23" i="3"/>
  <c r="L22" i="3"/>
  <c r="L21" i="3"/>
  <c r="L20" i="3"/>
  <c r="L19" i="3"/>
  <c r="L15" i="3"/>
  <c r="L14" i="3"/>
  <c r="L8" i="3"/>
  <c r="L7" i="3"/>
  <c r="L9" i="2"/>
  <c r="I24" i="3"/>
  <c r="I23" i="3"/>
  <c r="I22" i="3"/>
  <c r="I21" i="3"/>
  <c r="I17" i="3"/>
  <c r="I16" i="3"/>
  <c r="I15" i="3"/>
  <c r="I11" i="3"/>
  <c r="I10" i="3"/>
  <c r="I9" i="3"/>
  <c r="I8" i="3"/>
  <c r="I7" i="3"/>
  <c r="L23" i="2"/>
  <c r="L22" i="2"/>
  <c r="L21" i="2"/>
  <c r="L20" i="2"/>
  <c r="L19" i="2"/>
  <c r="L15" i="2"/>
  <c r="L14" i="2"/>
  <c r="L8" i="2"/>
  <c r="L7" i="2"/>
  <c r="I24" i="2"/>
  <c r="I23" i="2"/>
  <c r="I22" i="2"/>
  <c r="I21" i="2"/>
  <c r="I17" i="2"/>
  <c r="I16" i="2"/>
  <c r="I15" i="2"/>
  <c r="J16" i="1"/>
  <c r="I11" i="2"/>
  <c r="I10" i="2"/>
  <c r="I9" i="2"/>
  <c r="I8" i="2"/>
  <c r="I7" i="2"/>
  <c r="M15" i="1"/>
  <c r="M14" i="1"/>
  <c r="N25" i="1"/>
  <c r="O24" i="1"/>
  <c r="M24" i="1"/>
  <c r="O23" i="1"/>
  <c r="M23" i="1"/>
  <c r="O22" i="1"/>
  <c r="M22" i="1"/>
  <c r="O21" i="1"/>
  <c r="M21" i="1"/>
  <c r="M9" i="1"/>
  <c r="M8" i="1"/>
  <c r="M7" i="1"/>
  <c r="J25" i="1"/>
  <c r="J24" i="1"/>
  <c r="J23" i="1"/>
  <c r="J22" i="1"/>
  <c r="J18" i="1"/>
  <c r="J17" i="1"/>
  <c r="J12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<sst xmlns="http://schemas.openxmlformats.org/spreadsheetml/2006/main" count="404" uniqueCount="171">
  <si>
    <t xml:space="preserve">"DAILY SALES REPORT" </t>
  </si>
  <si>
    <t>Date</t>
  </si>
  <si>
    <t>Product</t>
  </si>
  <si>
    <t>Laptop</t>
  </si>
  <si>
    <t>Powerbank</t>
  </si>
  <si>
    <t>Mobile</t>
  </si>
  <si>
    <t>Watch</t>
  </si>
  <si>
    <t>Tablet</t>
  </si>
  <si>
    <t>Headphones</t>
  </si>
  <si>
    <t>TV</t>
  </si>
  <si>
    <t>Refrigerator</t>
  </si>
  <si>
    <t>Region</t>
  </si>
  <si>
    <t>North</t>
  </si>
  <si>
    <t>East</t>
  </si>
  <si>
    <t>South</t>
  </si>
  <si>
    <t>West</t>
  </si>
  <si>
    <t>Sales Amount</t>
  </si>
  <si>
    <t>Profit</t>
  </si>
  <si>
    <t>EXCEL FUNCTIONS</t>
  </si>
  <si>
    <t>MATHEMATICAL FUNCTIONS</t>
  </si>
  <si>
    <t>TEXT FUNCTIONS</t>
  </si>
  <si>
    <t>LOGICAL FUNCTIONS</t>
  </si>
  <si>
    <t>DATE FUNCTIONS</t>
  </si>
  <si>
    <t>FINCANCIAL FUNCTIONS</t>
  </si>
  <si>
    <t>PMT</t>
  </si>
  <si>
    <t>NPV</t>
  </si>
  <si>
    <t>STATISTICAL FUNCTIONS</t>
  </si>
  <si>
    <t>MARKETING DATA</t>
  </si>
  <si>
    <t>Campaign</t>
  </si>
  <si>
    <t>Leads Generated</t>
  </si>
  <si>
    <t>Cost</t>
  </si>
  <si>
    <t>Conversion Rate</t>
  </si>
  <si>
    <t>Summer Sale FB</t>
  </si>
  <si>
    <t>Google Search B2B</t>
  </si>
  <si>
    <t>Email Newsletter Q1</t>
  </si>
  <si>
    <t>Instagram Influencer A</t>
  </si>
  <si>
    <t>Linkedin Tech Outreach</t>
  </si>
  <si>
    <t>TikTok Brand Awareness</t>
  </si>
  <si>
    <t>Webinar Series</t>
  </si>
  <si>
    <t>Podcast Sponsorship</t>
  </si>
  <si>
    <t>Referral Program</t>
  </si>
  <si>
    <t>Winter Clearance</t>
  </si>
  <si>
    <t>Trade Show Leads</t>
  </si>
  <si>
    <t>You Tube Pre-roll</t>
  </si>
  <si>
    <t>Twitter Promoted Post</t>
  </si>
  <si>
    <t>Blog Content SEO</t>
  </si>
  <si>
    <t>Direct Mail Promo</t>
  </si>
  <si>
    <t>Retargeting Ads</t>
  </si>
  <si>
    <t>Spring Catalog</t>
  </si>
  <si>
    <t>Affiliate Network</t>
  </si>
  <si>
    <t>Holiday Gift Guide</t>
  </si>
  <si>
    <t>SMS Flash Sale</t>
  </si>
  <si>
    <t>FINANCE DATA</t>
  </si>
  <si>
    <t>Revenue</t>
  </si>
  <si>
    <t>Expenses</t>
  </si>
  <si>
    <t>Budget vs Actual</t>
  </si>
  <si>
    <t>HR DATA</t>
  </si>
  <si>
    <t>Employee ID</t>
  </si>
  <si>
    <t>Department</t>
  </si>
  <si>
    <t>Salary</t>
  </si>
  <si>
    <t>Experience(Yrs)</t>
  </si>
  <si>
    <t>Attrition</t>
  </si>
  <si>
    <t>EMP-101</t>
  </si>
  <si>
    <t>EMP-102</t>
  </si>
  <si>
    <t>IT</t>
  </si>
  <si>
    <t>Sales</t>
  </si>
  <si>
    <t>Finance</t>
  </si>
  <si>
    <t>HR</t>
  </si>
  <si>
    <t>Marketing</t>
  </si>
  <si>
    <t>Operations</t>
  </si>
  <si>
    <t>Yes</t>
  </si>
  <si>
    <t>No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</si>
  <si>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</si>
  <si>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</si>
  <si>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</si>
  <si>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</si>
  <si>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</si>
  <si>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</si>
  <si>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</si>
  <si>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</si>
  <si>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</si>
  <si>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</si>
  <si>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</si>
  <si>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</si>
  <si>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</si>
  <si>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</si>
  <si>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</si>
  <si>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</si>
  <si>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</si>
  <si>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</si>
  <si>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INSURANCE DATA</t>
  </si>
  <si>
    <t>Policy Number</t>
  </si>
  <si>
    <t>POL-8821</t>
  </si>
  <si>
    <t>POL-4321</t>
  </si>
  <si>
    <t>POL-9901</t>
  </si>
  <si>
    <t>POL-6787</t>
  </si>
  <si>
    <t>POL-4783</t>
  </si>
  <si>
    <t>POL-7894</t>
  </si>
  <si>
    <t>POL-8726</t>
  </si>
  <si>
    <t>POL-8765</t>
  </si>
  <si>
    <t>POL-9852</t>
  </si>
  <si>
    <t>POL-1167</t>
  </si>
  <si>
    <t>POL-2567</t>
  </si>
  <si>
    <t>POL-2298</t>
  </si>
  <si>
    <t>POL-6757</t>
  </si>
  <si>
    <t>POL-8756</t>
  </si>
  <si>
    <t>POL-3838</t>
  </si>
  <si>
    <t>POL-7868</t>
  </si>
  <si>
    <t>POL-8836</t>
  </si>
  <si>
    <t>POL-7878</t>
  </si>
  <si>
    <t>POL-7984</t>
  </si>
  <si>
    <t>POL-7760</t>
  </si>
  <si>
    <t>Customer Age</t>
  </si>
  <si>
    <t xml:space="preserve">Premium </t>
  </si>
  <si>
    <t>Claim Amount</t>
  </si>
  <si>
    <t>Policy Type</t>
  </si>
  <si>
    <t>Auto</t>
  </si>
  <si>
    <t>Home</t>
  </si>
  <si>
    <t>Health</t>
  </si>
  <si>
    <t>Life</t>
  </si>
  <si>
    <t>FOR SALES</t>
  </si>
  <si>
    <t>FOR PROFITS</t>
  </si>
  <si>
    <t>PIVOT TABLES</t>
  </si>
  <si>
    <t>Grand Total</t>
  </si>
  <si>
    <t>REVENUE</t>
  </si>
  <si>
    <t>REGION</t>
  </si>
  <si>
    <t>SUM</t>
  </si>
  <si>
    <t>AVERAGE</t>
  </si>
  <si>
    <t>MIN</t>
  </si>
  <si>
    <t xml:space="preserve">MAX </t>
  </si>
  <si>
    <t>COUNT</t>
  </si>
  <si>
    <t>IF</t>
  </si>
  <si>
    <t>AND</t>
  </si>
  <si>
    <t>OR</t>
  </si>
  <si>
    <t>LEFT</t>
  </si>
  <si>
    <t>RIGHT</t>
  </si>
  <si>
    <t>MID</t>
  </si>
  <si>
    <t>CONCAT</t>
  </si>
  <si>
    <t>PIVOT TABLE</t>
  </si>
  <si>
    <t>MAX</t>
  </si>
  <si>
    <t>MEAN</t>
  </si>
  <si>
    <t>MEDIAN</t>
  </si>
  <si>
    <t>MODE</t>
  </si>
  <si>
    <t>STANDARD DEVIATION</t>
  </si>
  <si>
    <t>CORRELATION</t>
  </si>
  <si>
    <t>EXPENSES CATEGORY ANALYSIS</t>
  </si>
  <si>
    <t>GRAPHS AND VISUALIZATION</t>
  </si>
  <si>
    <t>GRAPHS &amp; VISUALIZATION</t>
  </si>
  <si>
    <t>TODAY</t>
  </si>
  <si>
    <t>NOW</t>
  </si>
  <si>
    <t>DATEDIF</t>
  </si>
  <si>
    <t>Row Labels</t>
  </si>
  <si>
    <t>TOTAL PROFIT</t>
  </si>
  <si>
    <t>AVERAGE SALE</t>
  </si>
  <si>
    <t>DATED IF</t>
  </si>
  <si>
    <t xml:space="preserve">MEDIAN </t>
  </si>
  <si>
    <t>AVEARGE</t>
  </si>
  <si>
    <t>Sum of Claim Amount</t>
  </si>
  <si>
    <t>SUMMARY TABLE</t>
  </si>
  <si>
    <t>SALES</t>
  </si>
  <si>
    <t>MARKETING</t>
  </si>
  <si>
    <t xml:space="preserve">FINANCE </t>
  </si>
  <si>
    <t>OPERATION</t>
  </si>
  <si>
    <t>LOOKUP FUNCTIONS</t>
  </si>
  <si>
    <t>VLOOKUP</t>
  </si>
  <si>
    <t>GRAPHS &amp; VISUALIZATIONS</t>
  </si>
  <si>
    <t>PRODUCT NAME</t>
  </si>
  <si>
    <t>LAPTOP</t>
  </si>
  <si>
    <t xml:space="preserve">CAMPAIGN </t>
  </si>
  <si>
    <t>WEBINAR SERIES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</si>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</sst>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9" fontId="0" fillId="0" borderId="0" xfId="0" applyNumberFormat="1"/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16" fontId="0" fillId="7" borderId="7" xfId="0" applyNumberFormat="1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16" fontId="0" fillId="7" borderId="9" xfId="0" applyNumberFormat="1" applyFill="1" applyBorder="1"/>
    <xf numFmtId="0" fontId="0" fillId="7" borderId="10" xfId="0" applyFill="1" applyBorder="1"/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6" fillId="0" borderId="0" xfId="0" applyFont="1"/>
    <xf numFmtId="0" fontId="3" fillId="2" borderId="24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14" fontId="1" fillId="8" borderId="8" xfId="0" applyNumberFormat="1" applyFont="1" applyFill="1" applyBorder="1" applyAlignment="1">
      <alignment horizontal="center" vertical="center"/>
    </xf>
    <xf numFmtId="22" fontId="1" fillId="8" borderId="8" xfId="0" applyNumberFormat="1" applyFont="1" applyFill="1" applyBorder="1" applyAlignment="1">
      <alignment horizontal="center" vertical="center"/>
    </xf>
    <xf numFmtId="8" fontId="1" fillId="8" borderId="8" xfId="0" applyNumberFormat="1" applyFont="1" applyFill="1" applyBorder="1" applyAlignment="1">
      <alignment horizontal="center" vertical="center"/>
    </xf>
    <xf numFmtId="8" fontId="1" fillId="8" borderId="11" xfId="0" applyNumberFormat="1" applyFont="1" applyFill="1" applyBorder="1" applyAlignment="1">
      <alignment horizontal="center" vertical="center"/>
    </xf>
    <xf numFmtId="2" fontId="1" fillId="8" borderId="7" xfId="0" applyNumberFormat="1" applyFont="1" applyFill="1" applyBorder="1" applyAlignment="1">
      <alignment horizontal="center"/>
    </xf>
    <xf numFmtId="2" fontId="1" fillId="8" borderId="6" xfId="0" applyNumberFormat="1" applyFont="1" applyFill="1" applyBorder="1" applyAlignment="1">
      <alignment horizontal="center" vertical="center"/>
    </xf>
    <xf numFmtId="2" fontId="1" fillId="8" borderId="6" xfId="0" applyNumberFormat="1" applyFont="1" applyFill="1" applyBorder="1" applyAlignment="1">
      <alignment horizontal="center"/>
    </xf>
    <xf numFmtId="2" fontId="1" fillId="8" borderId="8" xfId="0" applyNumberFormat="1" applyFont="1" applyFill="1" applyBorder="1" applyAlignment="1">
      <alignment horizontal="center"/>
    </xf>
    <xf numFmtId="2" fontId="1" fillId="8" borderId="11" xfId="0" applyNumberFormat="1" applyFont="1" applyFill="1" applyBorder="1" applyAlignment="1">
      <alignment horizontal="center"/>
    </xf>
    <xf numFmtId="16" fontId="0" fillId="8" borderId="7" xfId="0" applyNumberFormat="1" applyFill="1" applyBorder="1"/>
    <xf numFmtId="0" fontId="0" fillId="8" borderId="6" xfId="0" applyFill="1" applyBorder="1"/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" fontId="0" fillId="8" borderId="9" xfId="0" applyNumberFormat="1" applyFill="1" applyBorder="1"/>
    <xf numFmtId="0" fontId="0" fillId="8" borderId="10" xfId="0" applyFill="1" applyBorder="1"/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14" fontId="1" fillId="8" borderId="8" xfId="0" applyNumberFormat="1" applyFont="1" applyFill="1" applyBorder="1" applyAlignment="1">
      <alignment horizontal="center"/>
    </xf>
    <xf numFmtId="22" fontId="1" fillId="8" borderId="8" xfId="0" applyNumberFormat="1" applyFont="1" applyFill="1" applyBorder="1" applyAlignment="1">
      <alignment horizontal="center"/>
    </xf>
    <xf numFmtId="8" fontId="1" fillId="8" borderId="8" xfId="0" applyNumberFormat="1" applyFont="1" applyFill="1" applyBorder="1" applyAlignment="1">
      <alignment horizontal="center"/>
    </xf>
    <xf numFmtId="8" fontId="1" fillId="8" borderId="11" xfId="0" applyNumberFormat="1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/>
    </xf>
    <xf numFmtId="0" fontId="0" fillId="9" borderId="24" xfId="0" applyFill="1" applyBorder="1"/>
    <xf numFmtId="164" fontId="0" fillId="8" borderId="7" xfId="0" applyNumberFormat="1" applyFill="1" applyBorder="1"/>
    <xf numFmtId="9" fontId="0" fillId="8" borderId="8" xfId="0" applyNumberFormat="1" applyFill="1" applyBorder="1" applyAlignment="1">
      <alignment horizontal="center" vertical="center"/>
    </xf>
    <xf numFmtId="164" fontId="0" fillId="8" borderId="7" xfId="0" applyNumberFormat="1" applyFill="1" applyBorder="1" applyAlignment="1">
      <alignment vertical="center"/>
    </xf>
    <xf numFmtId="9" fontId="0" fillId="8" borderId="11" xfId="0" applyNumberFormat="1" applyFill="1" applyBorder="1" applyAlignment="1">
      <alignment horizontal="center" vertical="center"/>
    </xf>
    <xf numFmtId="0" fontId="3" fillId="5" borderId="24" xfId="0" applyFont="1" applyFill="1" applyBorder="1"/>
    <xf numFmtId="0" fontId="0" fillId="0" borderId="29" xfId="0" pivotButton="1" applyBorder="1"/>
    <xf numFmtId="0" fontId="0" fillId="0" borderId="30" xfId="0" applyBorder="1" applyAlignment="1">
      <alignment horizontal="left"/>
    </xf>
    <xf numFmtId="0" fontId="0" fillId="0" borderId="30" xfId="0" applyBorder="1" applyAlignment="1">
      <alignment horizontal="left" indent="1"/>
    </xf>
    <xf numFmtId="0" fontId="0" fillId="0" borderId="31" xfId="0" applyBorder="1" applyAlignment="1">
      <alignment horizontal="left"/>
    </xf>
    <xf numFmtId="17" fontId="0" fillId="8" borderId="7" xfId="0" applyNumberFormat="1" applyFill="1" applyBorder="1"/>
    <xf numFmtId="17" fontId="0" fillId="8" borderId="9" xfId="0" applyNumberFormat="1" applyFill="1" applyBorder="1"/>
    <xf numFmtId="2" fontId="0" fillId="0" borderId="0" xfId="0" applyNumberFormat="1"/>
    <xf numFmtId="0" fontId="0" fillId="0" borderId="4" xfId="0" pivotButton="1" applyBorder="1"/>
    <xf numFmtId="0" fontId="0" fillId="0" borderId="5" xfId="0" applyBorder="1"/>
    <xf numFmtId="0" fontId="1" fillId="0" borderId="3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1" fillId="8" borderId="9" xfId="0" applyNumberFormat="1" applyFont="1" applyFill="1" applyBorder="1" applyAlignment="1">
      <alignment horizontal="center"/>
    </xf>
    <xf numFmtId="2" fontId="1" fillId="8" borderId="10" xfId="0" applyNumberFormat="1" applyFont="1" applyFill="1" applyBorder="1" applyAlignment="1">
      <alignment horizontal="center"/>
    </xf>
    <xf numFmtId="2" fontId="1" fillId="8" borderId="1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164" fontId="0" fillId="0" borderId="0" xfId="0" applyNumberFormat="1" applyFill="1" applyBorder="1" applyAlignment="1"/>
    <xf numFmtId="164" fontId="0" fillId="0" borderId="0" xfId="0" applyNumberFormat="1" applyFont="1" applyFill="1" applyBorder="1" applyAlignment="1"/>
    <xf numFmtId="0" fontId="7" fillId="0" borderId="0" xfId="0" applyFont="1" applyFill="1" applyBorder="1" applyAlignment="1"/>
    <xf numFmtId="0" fontId="0" fillId="0" borderId="0" xfId="0" applyFont="1" applyFill="1" applyBorder="1" applyAlignment="1"/>
    <xf numFmtId="15" fontId="0" fillId="0" borderId="0" xfId="0" applyNumberFormat="1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164" fontId="0" fillId="8" borderId="9" xfId="0" applyNumberFormat="1" applyFill="1" applyBorder="1"/>
    <xf numFmtId="16" fontId="0" fillId="0" borderId="0" xfId="0" applyNumberFormat="1" applyFill="1" applyBorder="1"/>
    <xf numFmtId="0" fontId="0" fillId="0" borderId="0" xfId="0" applyFill="1" applyBorder="1"/>
    <xf numFmtId="0" fontId="1" fillId="8" borderId="36" xfId="0" applyFont="1" applyFill="1" applyBorder="1" applyAlignment="1">
      <alignment horizontal="center"/>
    </xf>
    <xf numFmtId="0" fontId="1" fillId="8" borderId="3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50"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 tint="-0.249977111117893"/>
        </patternFill>
      </fill>
    </dxf>
    <dxf>
      <font>
        <b/>
      </font>
    </dxf>
    <dxf>
      <fill>
        <patternFill patternType="solid">
          <bgColor theme="2"/>
        </patternFill>
      </fill>
    </dxf>
    <dxf>
      <alignment horizontal="center"/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wise Sales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SALES!$E$7:$E$26</c:f>
              <c:strCache>
                <c:ptCount val="20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North</c:v>
                </c:pt>
                <c:pt idx="5">
                  <c:v>East</c:v>
                </c:pt>
                <c:pt idx="6">
                  <c:v>South</c:v>
                </c:pt>
                <c:pt idx="7">
                  <c:v>West</c:v>
                </c:pt>
                <c:pt idx="8">
                  <c:v>North</c:v>
                </c:pt>
                <c:pt idx="9">
                  <c:v>East</c:v>
                </c:pt>
                <c:pt idx="10">
                  <c:v>South</c:v>
                </c:pt>
                <c:pt idx="11">
                  <c:v>West</c:v>
                </c:pt>
                <c:pt idx="12">
                  <c:v>North</c:v>
                </c:pt>
                <c:pt idx="13">
                  <c:v>East</c:v>
                </c:pt>
                <c:pt idx="14">
                  <c:v>South</c:v>
                </c:pt>
                <c:pt idx="15">
                  <c:v>West</c:v>
                </c:pt>
                <c:pt idx="16">
                  <c:v>North</c:v>
                </c:pt>
                <c:pt idx="17">
                  <c:v>East</c:v>
                </c:pt>
                <c:pt idx="18">
                  <c:v>South</c:v>
                </c:pt>
                <c:pt idx="19">
                  <c:v>North</c:v>
                </c:pt>
              </c:strCache>
            </c:strRef>
          </c:cat>
          <c:val>
            <c:numRef>
              <c:f>SALES!$F$7:$F$26</c:f>
              <c:numCache>
                <c:formatCode>General</c:formatCode>
                <c:ptCount val="20"/>
                <c:pt idx="0">
                  <c:v>55000</c:v>
                </c:pt>
                <c:pt idx="1">
                  <c:v>2000</c:v>
                </c:pt>
                <c:pt idx="2">
                  <c:v>31700</c:v>
                </c:pt>
                <c:pt idx="3">
                  <c:v>1570</c:v>
                </c:pt>
                <c:pt idx="4">
                  <c:v>28000</c:v>
                </c:pt>
                <c:pt idx="5">
                  <c:v>2999</c:v>
                </c:pt>
                <c:pt idx="6">
                  <c:v>22490</c:v>
                </c:pt>
                <c:pt idx="7">
                  <c:v>8550</c:v>
                </c:pt>
                <c:pt idx="8">
                  <c:v>12999</c:v>
                </c:pt>
                <c:pt idx="9">
                  <c:v>4500</c:v>
                </c:pt>
                <c:pt idx="10">
                  <c:v>15000</c:v>
                </c:pt>
                <c:pt idx="11">
                  <c:v>1200</c:v>
                </c:pt>
                <c:pt idx="12">
                  <c:v>45000</c:v>
                </c:pt>
                <c:pt idx="13">
                  <c:v>25000</c:v>
                </c:pt>
                <c:pt idx="14">
                  <c:v>35000</c:v>
                </c:pt>
                <c:pt idx="15">
                  <c:v>3000</c:v>
                </c:pt>
                <c:pt idx="16">
                  <c:v>40000</c:v>
                </c:pt>
                <c:pt idx="17">
                  <c:v>2000</c:v>
                </c:pt>
                <c:pt idx="18">
                  <c:v>18000</c:v>
                </c:pt>
                <c:pt idx="1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5-4C41-ABF4-03C83DC8E6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852979120"/>
        <c:axId val="852989680"/>
        <c:axId val="0"/>
      </c:bar3DChart>
      <c:catAx>
        <c:axId val="85297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89680"/>
        <c:crosses val="autoZero"/>
        <c:auto val="1"/>
        <c:lblAlgn val="ctr"/>
        <c:lblOffset val="100"/>
        <c:noMultiLvlLbl val="0"/>
      </c:catAx>
      <c:valAx>
        <c:axId val="8529896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5297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LEADS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MARKETING!$D$5</c:f>
              <c:strCache>
                <c:ptCount val="1"/>
                <c:pt idx="0">
                  <c:v>Leads Generated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MARKETING!$B$6:$C$26</c:f>
              <c:multiLvlStrCache>
                <c:ptCount val="21"/>
                <c:lvl>
                  <c:pt idx="1">
                    <c:v>Summer Sale FB</c:v>
                  </c:pt>
                  <c:pt idx="2">
                    <c:v>Google Search B2B</c:v>
                  </c:pt>
                  <c:pt idx="3">
                    <c:v>Email Newsletter Q1</c:v>
                  </c:pt>
                  <c:pt idx="4">
                    <c:v>Instagram Influencer A</c:v>
                  </c:pt>
                  <c:pt idx="5">
                    <c:v>Linkedin Tech Outreach</c:v>
                  </c:pt>
                  <c:pt idx="6">
                    <c:v>TikTok Brand Awareness</c:v>
                  </c:pt>
                  <c:pt idx="7">
                    <c:v>Webinar Series</c:v>
                  </c:pt>
                  <c:pt idx="8">
                    <c:v>Podcast Sponsorship</c:v>
                  </c:pt>
                  <c:pt idx="9">
                    <c:v>Referral Program</c:v>
                  </c:pt>
                  <c:pt idx="10">
                    <c:v>Winter Clearance</c:v>
                  </c:pt>
                  <c:pt idx="11">
                    <c:v>Trade Show Leads</c:v>
                  </c:pt>
                  <c:pt idx="12">
                    <c:v>You Tube Pre-roll</c:v>
                  </c:pt>
                  <c:pt idx="13">
                    <c:v>Twitter Promoted Post</c:v>
                  </c:pt>
                  <c:pt idx="14">
                    <c:v>Blog Content SEO</c:v>
                  </c:pt>
                  <c:pt idx="15">
                    <c:v>Direct Mail Promo</c:v>
                  </c:pt>
                  <c:pt idx="16">
                    <c:v>Retargeting Ads</c:v>
                  </c:pt>
                  <c:pt idx="17">
                    <c:v>Spring Catalog</c:v>
                  </c:pt>
                  <c:pt idx="18">
                    <c:v>Affiliate Network</c:v>
                  </c:pt>
                  <c:pt idx="19">
                    <c:v>Holiday Gift Guide</c:v>
                  </c:pt>
                  <c:pt idx="20">
                    <c:v>SMS Flash Sale</c:v>
                  </c:pt>
                </c:lvl>
                <c:lvl>
                  <c:pt idx="1">
                    <c:v>01-Jan</c:v>
                  </c:pt>
                  <c:pt idx="2">
                    <c:v>02-Jan</c:v>
                  </c:pt>
                  <c:pt idx="3">
                    <c:v>03-Jan</c:v>
                  </c:pt>
                  <c:pt idx="4">
                    <c:v>04-Jan</c:v>
                  </c:pt>
                  <c:pt idx="5">
                    <c:v>05-Jan</c:v>
                  </c:pt>
                  <c:pt idx="6">
                    <c:v>06-Jan</c:v>
                  </c:pt>
                  <c:pt idx="7">
                    <c:v>07-Jan</c:v>
                  </c:pt>
                  <c:pt idx="8">
                    <c:v>08-Jan</c:v>
                  </c:pt>
                  <c:pt idx="9">
                    <c:v>09-Jan</c:v>
                  </c:pt>
                  <c:pt idx="10">
                    <c:v>10-Jan</c:v>
                  </c:pt>
                  <c:pt idx="11">
                    <c:v>11-Jan</c:v>
                  </c:pt>
                  <c:pt idx="12">
                    <c:v>12-Jan</c:v>
                  </c:pt>
                  <c:pt idx="13">
                    <c:v>13-Jan</c:v>
                  </c:pt>
                  <c:pt idx="14">
                    <c:v>14-Jan</c:v>
                  </c:pt>
                  <c:pt idx="15">
                    <c:v>15-Jan</c:v>
                  </c:pt>
                  <c:pt idx="16">
                    <c:v>16-Jan</c:v>
                  </c:pt>
                  <c:pt idx="17">
                    <c:v>17-Jan</c:v>
                  </c:pt>
                  <c:pt idx="18">
                    <c:v>18-Jan</c:v>
                  </c:pt>
                  <c:pt idx="19">
                    <c:v>19-Jan</c:v>
                  </c:pt>
                  <c:pt idx="20">
                    <c:v>20-Jan</c:v>
                  </c:pt>
                </c:lvl>
              </c:multiLvlStrCache>
            </c:multiLvlStrRef>
          </c:xVal>
          <c:yVal>
            <c:numRef>
              <c:f>MARKETING!$D$6:$D$26</c:f>
              <c:numCache>
                <c:formatCode>General</c:formatCode>
                <c:ptCount val="21"/>
                <c:pt idx="1">
                  <c:v>450</c:v>
                </c:pt>
                <c:pt idx="2">
                  <c:v>120</c:v>
                </c:pt>
                <c:pt idx="3">
                  <c:v>85</c:v>
                </c:pt>
                <c:pt idx="4">
                  <c:v>310</c:v>
                </c:pt>
                <c:pt idx="5">
                  <c:v>55</c:v>
                </c:pt>
                <c:pt idx="6">
                  <c:v>1200</c:v>
                </c:pt>
                <c:pt idx="7">
                  <c:v>240</c:v>
                </c:pt>
                <c:pt idx="8">
                  <c:v>190</c:v>
                </c:pt>
                <c:pt idx="9">
                  <c:v>65</c:v>
                </c:pt>
                <c:pt idx="10">
                  <c:v>580</c:v>
                </c:pt>
                <c:pt idx="11">
                  <c:v>95</c:v>
                </c:pt>
                <c:pt idx="12">
                  <c:v>410</c:v>
                </c:pt>
                <c:pt idx="13">
                  <c:v>130</c:v>
                </c:pt>
                <c:pt idx="14">
                  <c:v>215</c:v>
                </c:pt>
                <c:pt idx="15">
                  <c:v>45</c:v>
                </c:pt>
                <c:pt idx="16">
                  <c:v>320</c:v>
                </c:pt>
                <c:pt idx="17">
                  <c:v>110</c:v>
                </c:pt>
                <c:pt idx="18">
                  <c:v>890</c:v>
                </c:pt>
                <c:pt idx="19">
                  <c:v>670</c:v>
                </c:pt>
                <c:pt idx="20">
                  <c:v>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7-47A4-B15C-CFF527938C87}"/>
            </c:ext>
          </c:extLst>
        </c:ser>
        <c:ser>
          <c:idx val="1"/>
          <c:order val="1"/>
          <c:tx>
            <c:strRef>
              <c:f>MARKETING!$E$5</c:f>
              <c:strCache>
                <c:ptCount val="1"/>
                <c:pt idx="0">
                  <c:v>Cost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MARKETING!$B$6:$C$26</c:f>
              <c:multiLvlStrCache>
                <c:ptCount val="21"/>
                <c:lvl>
                  <c:pt idx="1">
                    <c:v>Summer Sale FB</c:v>
                  </c:pt>
                  <c:pt idx="2">
                    <c:v>Google Search B2B</c:v>
                  </c:pt>
                  <c:pt idx="3">
                    <c:v>Email Newsletter Q1</c:v>
                  </c:pt>
                  <c:pt idx="4">
                    <c:v>Instagram Influencer A</c:v>
                  </c:pt>
                  <c:pt idx="5">
                    <c:v>Linkedin Tech Outreach</c:v>
                  </c:pt>
                  <c:pt idx="6">
                    <c:v>TikTok Brand Awareness</c:v>
                  </c:pt>
                  <c:pt idx="7">
                    <c:v>Webinar Series</c:v>
                  </c:pt>
                  <c:pt idx="8">
                    <c:v>Podcast Sponsorship</c:v>
                  </c:pt>
                  <c:pt idx="9">
                    <c:v>Referral Program</c:v>
                  </c:pt>
                  <c:pt idx="10">
                    <c:v>Winter Clearance</c:v>
                  </c:pt>
                  <c:pt idx="11">
                    <c:v>Trade Show Leads</c:v>
                  </c:pt>
                  <c:pt idx="12">
                    <c:v>You Tube Pre-roll</c:v>
                  </c:pt>
                  <c:pt idx="13">
                    <c:v>Twitter Promoted Post</c:v>
                  </c:pt>
                  <c:pt idx="14">
                    <c:v>Blog Content SEO</c:v>
                  </c:pt>
                  <c:pt idx="15">
                    <c:v>Direct Mail Promo</c:v>
                  </c:pt>
                  <c:pt idx="16">
                    <c:v>Retargeting Ads</c:v>
                  </c:pt>
                  <c:pt idx="17">
                    <c:v>Spring Catalog</c:v>
                  </c:pt>
                  <c:pt idx="18">
                    <c:v>Affiliate Network</c:v>
                  </c:pt>
                  <c:pt idx="19">
                    <c:v>Holiday Gift Guide</c:v>
                  </c:pt>
                  <c:pt idx="20">
                    <c:v>SMS Flash Sale</c:v>
                  </c:pt>
                </c:lvl>
                <c:lvl>
                  <c:pt idx="1">
                    <c:v>01-Jan</c:v>
                  </c:pt>
                  <c:pt idx="2">
                    <c:v>02-Jan</c:v>
                  </c:pt>
                  <c:pt idx="3">
                    <c:v>03-Jan</c:v>
                  </c:pt>
                  <c:pt idx="4">
                    <c:v>04-Jan</c:v>
                  </c:pt>
                  <c:pt idx="5">
                    <c:v>05-Jan</c:v>
                  </c:pt>
                  <c:pt idx="6">
                    <c:v>06-Jan</c:v>
                  </c:pt>
                  <c:pt idx="7">
                    <c:v>07-Jan</c:v>
                  </c:pt>
                  <c:pt idx="8">
                    <c:v>08-Jan</c:v>
                  </c:pt>
                  <c:pt idx="9">
                    <c:v>09-Jan</c:v>
                  </c:pt>
                  <c:pt idx="10">
                    <c:v>10-Jan</c:v>
                  </c:pt>
                  <c:pt idx="11">
                    <c:v>11-Jan</c:v>
                  </c:pt>
                  <c:pt idx="12">
                    <c:v>12-Jan</c:v>
                  </c:pt>
                  <c:pt idx="13">
                    <c:v>13-Jan</c:v>
                  </c:pt>
                  <c:pt idx="14">
                    <c:v>14-Jan</c:v>
                  </c:pt>
                  <c:pt idx="15">
                    <c:v>15-Jan</c:v>
                  </c:pt>
                  <c:pt idx="16">
                    <c:v>16-Jan</c:v>
                  </c:pt>
                  <c:pt idx="17">
                    <c:v>17-Jan</c:v>
                  </c:pt>
                  <c:pt idx="18">
                    <c:v>18-Jan</c:v>
                  </c:pt>
                  <c:pt idx="19">
                    <c:v>19-Jan</c:v>
                  </c:pt>
                  <c:pt idx="20">
                    <c:v>20-Jan</c:v>
                  </c:pt>
                </c:lvl>
              </c:multiLvlStrCache>
            </c:multiLvlStrRef>
          </c:xVal>
          <c:yVal>
            <c:numRef>
              <c:f>MARKETING!$E$6:$E$26</c:f>
              <c:numCache>
                <c:formatCode>General</c:formatCode>
                <c:ptCount val="21"/>
                <c:pt idx="1">
                  <c:v>1200</c:v>
                </c:pt>
                <c:pt idx="2">
                  <c:v>2500</c:v>
                </c:pt>
                <c:pt idx="3">
                  <c:v>150</c:v>
                </c:pt>
                <c:pt idx="4">
                  <c:v>900</c:v>
                </c:pt>
                <c:pt idx="5">
                  <c:v>1800</c:v>
                </c:pt>
                <c:pt idx="6">
                  <c:v>3000</c:v>
                </c:pt>
                <c:pt idx="7">
                  <c:v>600</c:v>
                </c:pt>
                <c:pt idx="8">
                  <c:v>2200</c:v>
                </c:pt>
                <c:pt idx="9">
                  <c:v>300</c:v>
                </c:pt>
                <c:pt idx="10">
                  <c:v>1100</c:v>
                </c:pt>
                <c:pt idx="11">
                  <c:v>4500</c:v>
                </c:pt>
                <c:pt idx="12">
                  <c:v>1500</c:v>
                </c:pt>
                <c:pt idx="13">
                  <c:v>500</c:v>
                </c:pt>
                <c:pt idx="14">
                  <c:v>800</c:v>
                </c:pt>
                <c:pt idx="15">
                  <c:v>1400</c:v>
                </c:pt>
                <c:pt idx="16">
                  <c:v>750</c:v>
                </c:pt>
                <c:pt idx="17">
                  <c:v>1200</c:v>
                </c:pt>
                <c:pt idx="18">
                  <c:v>2100</c:v>
                </c:pt>
                <c:pt idx="19">
                  <c:v>1900</c:v>
                </c:pt>
                <c:pt idx="2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97-47A4-B15C-CFF527938C87}"/>
            </c:ext>
          </c:extLst>
        </c:ser>
        <c:ser>
          <c:idx val="2"/>
          <c:order val="2"/>
          <c:tx>
            <c:strRef>
              <c:f>MARKETING!$F$5</c:f>
              <c:strCache>
                <c:ptCount val="1"/>
                <c:pt idx="0">
                  <c:v>Conversion Rate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MARKETING!$B$6:$C$26</c:f>
              <c:multiLvlStrCache>
                <c:ptCount val="21"/>
                <c:lvl>
                  <c:pt idx="1">
                    <c:v>Summer Sale FB</c:v>
                  </c:pt>
                  <c:pt idx="2">
                    <c:v>Google Search B2B</c:v>
                  </c:pt>
                  <c:pt idx="3">
                    <c:v>Email Newsletter Q1</c:v>
                  </c:pt>
                  <c:pt idx="4">
                    <c:v>Instagram Influencer A</c:v>
                  </c:pt>
                  <c:pt idx="5">
                    <c:v>Linkedin Tech Outreach</c:v>
                  </c:pt>
                  <c:pt idx="6">
                    <c:v>TikTok Brand Awareness</c:v>
                  </c:pt>
                  <c:pt idx="7">
                    <c:v>Webinar Series</c:v>
                  </c:pt>
                  <c:pt idx="8">
                    <c:v>Podcast Sponsorship</c:v>
                  </c:pt>
                  <c:pt idx="9">
                    <c:v>Referral Program</c:v>
                  </c:pt>
                  <c:pt idx="10">
                    <c:v>Winter Clearance</c:v>
                  </c:pt>
                  <c:pt idx="11">
                    <c:v>Trade Show Leads</c:v>
                  </c:pt>
                  <c:pt idx="12">
                    <c:v>You Tube Pre-roll</c:v>
                  </c:pt>
                  <c:pt idx="13">
                    <c:v>Twitter Promoted Post</c:v>
                  </c:pt>
                  <c:pt idx="14">
                    <c:v>Blog Content SEO</c:v>
                  </c:pt>
                  <c:pt idx="15">
                    <c:v>Direct Mail Promo</c:v>
                  </c:pt>
                  <c:pt idx="16">
                    <c:v>Retargeting Ads</c:v>
                  </c:pt>
                  <c:pt idx="17">
                    <c:v>Spring Catalog</c:v>
                  </c:pt>
                  <c:pt idx="18">
                    <c:v>Affiliate Network</c:v>
                  </c:pt>
                  <c:pt idx="19">
                    <c:v>Holiday Gift Guide</c:v>
                  </c:pt>
                  <c:pt idx="20">
                    <c:v>SMS Flash Sale</c:v>
                  </c:pt>
                </c:lvl>
                <c:lvl>
                  <c:pt idx="1">
                    <c:v>01-Jan</c:v>
                  </c:pt>
                  <c:pt idx="2">
                    <c:v>02-Jan</c:v>
                  </c:pt>
                  <c:pt idx="3">
                    <c:v>03-Jan</c:v>
                  </c:pt>
                  <c:pt idx="4">
                    <c:v>04-Jan</c:v>
                  </c:pt>
                  <c:pt idx="5">
                    <c:v>05-Jan</c:v>
                  </c:pt>
                  <c:pt idx="6">
                    <c:v>06-Jan</c:v>
                  </c:pt>
                  <c:pt idx="7">
                    <c:v>07-Jan</c:v>
                  </c:pt>
                  <c:pt idx="8">
                    <c:v>08-Jan</c:v>
                  </c:pt>
                  <c:pt idx="9">
                    <c:v>09-Jan</c:v>
                  </c:pt>
                  <c:pt idx="10">
                    <c:v>10-Jan</c:v>
                  </c:pt>
                  <c:pt idx="11">
                    <c:v>11-Jan</c:v>
                  </c:pt>
                  <c:pt idx="12">
                    <c:v>12-Jan</c:v>
                  </c:pt>
                  <c:pt idx="13">
                    <c:v>13-Jan</c:v>
                  </c:pt>
                  <c:pt idx="14">
                    <c:v>14-Jan</c:v>
                  </c:pt>
                  <c:pt idx="15">
                    <c:v>15-Jan</c:v>
                  </c:pt>
                  <c:pt idx="16">
                    <c:v>16-Jan</c:v>
                  </c:pt>
                  <c:pt idx="17">
                    <c:v>17-Jan</c:v>
                  </c:pt>
                  <c:pt idx="18">
                    <c:v>18-Jan</c:v>
                  </c:pt>
                  <c:pt idx="19">
                    <c:v>19-Jan</c:v>
                  </c:pt>
                  <c:pt idx="20">
                    <c:v>20-Jan</c:v>
                  </c:pt>
                </c:lvl>
              </c:multiLvlStrCache>
            </c:multiLvlStrRef>
          </c:xVal>
          <c:yVal>
            <c:numRef>
              <c:f>MARKETING!$F$6:$F$26</c:f>
              <c:numCache>
                <c:formatCode>General</c:formatCode>
                <c:ptCount val="21"/>
                <c:pt idx="1">
                  <c:v>4.2</c:v>
                </c:pt>
                <c:pt idx="2">
                  <c:v>3.5</c:v>
                </c:pt>
                <c:pt idx="3">
                  <c:v>8.5</c:v>
                </c:pt>
                <c:pt idx="4">
                  <c:v>3.8</c:v>
                </c:pt>
                <c:pt idx="5">
                  <c:v>1.5</c:v>
                </c:pt>
                <c:pt idx="6">
                  <c:v>0.8</c:v>
                </c:pt>
                <c:pt idx="7">
                  <c:v>5.4</c:v>
                </c:pt>
                <c:pt idx="8">
                  <c:v>2.9</c:v>
                </c:pt>
                <c:pt idx="9">
                  <c:v>12</c:v>
                </c:pt>
                <c:pt idx="10">
                  <c:v>4.9000000000000004</c:v>
                </c:pt>
                <c:pt idx="11">
                  <c:v>6.2</c:v>
                </c:pt>
                <c:pt idx="12">
                  <c:v>1.1000000000000001</c:v>
                </c:pt>
                <c:pt idx="13">
                  <c:v>2.2999999999999998</c:v>
                </c:pt>
                <c:pt idx="14">
                  <c:v>3.5</c:v>
                </c:pt>
                <c:pt idx="15">
                  <c:v>4</c:v>
                </c:pt>
                <c:pt idx="16">
                  <c:v>7.2</c:v>
                </c:pt>
                <c:pt idx="17">
                  <c:v>3.1</c:v>
                </c:pt>
                <c:pt idx="18">
                  <c:v>5.6</c:v>
                </c:pt>
                <c:pt idx="19">
                  <c:v>6</c:v>
                </c:pt>
                <c:pt idx="20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97-47A4-B15C-CFF527938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641648"/>
        <c:axId val="763643088"/>
      </c:scatterChart>
      <c:valAx>
        <c:axId val="76364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43088"/>
        <c:crosses val="autoZero"/>
        <c:crossBetween val="midCat"/>
      </c:valAx>
      <c:valAx>
        <c:axId val="763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4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28575"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577275175013464"/>
          <c:y val="1.4144271570014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FINANCE!$C$5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FINANCE!$C$6:$C$26</c:f>
              <c:numCache>
                <c:formatCode>General</c:formatCode>
                <c:ptCount val="21"/>
                <c:pt idx="1">
                  <c:v>45000</c:v>
                </c:pt>
                <c:pt idx="2">
                  <c:v>52000</c:v>
                </c:pt>
                <c:pt idx="3">
                  <c:v>48000</c:v>
                </c:pt>
                <c:pt idx="4">
                  <c:v>61000</c:v>
                </c:pt>
                <c:pt idx="5">
                  <c:v>55000</c:v>
                </c:pt>
                <c:pt idx="6">
                  <c:v>42000</c:v>
                </c:pt>
                <c:pt idx="7">
                  <c:v>59000</c:v>
                </c:pt>
                <c:pt idx="8">
                  <c:v>64000</c:v>
                </c:pt>
                <c:pt idx="9">
                  <c:v>47000</c:v>
                </c:pt>
                <c:pt idx="10">
                  <c:v>50000</c:v>
                </c:pt>
                <c:pt idx="11">
                  <c:v>72000</c:v>
                </c:pt>
                <c:pt idx="12">
                  <c:v>53000</c:v>
                </c:pt>
                <c:pt idx="13">
                  <c:v>49000</c:v>
                </c:pt>
                <c:pt idx="14">
                  <c:v>58000</c:v>
                </c:pt>
                <c:pt idx="15">
                  <c:v>65000</c:v>
                </c:pt>
                <c:pt idx="16">
                  <c:v>44000</c:v>
                </c:pt>
                <c:pt idx="17">
                  <c:v>51000</c:v>
                </c:pt>
                <c:pt idx="18">
                  <c:v>68000</c:v>
                </c:pt>
                <c:pt idx="19">
                  <c:v>60000</c:v>
                </c:pt>
                <c:pt idx="20">
                  <c:v>54000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E-4121-97F2-26CE533D17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4890592"/>
        <c:axId val="763642128"/>
      </c:lineChart>
      <c:catAx>
        <c:axId val="544890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42128"/>
        <c:crosses val="autoZero"/>
        <c:auto val="1"/>
        <c:lblAlgn val="ctr"/>
        <c:lblOffset val="100"/>
        <c:noMultiLvlLbl val="0"/>
      </c:catAx>
      <c:valAx>
        <c:axId val="763642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9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DEPARTMENT DISTRIBUTIONS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251-43E6-96F4-E2E55440678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51-43E6-96F4-E2E55440678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51-43E6-96F4-E2E55440678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51-43E6-96F4-E2E55440678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251-43E6-96F4-E2E55440678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251-43E6-96F4-E2E5544067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HR!$W$7:$W$12</c:f>
              <c:strCache>
                <c:ptCount val="6"/>
                <c:pt idx="0">
                  <c:v>IT</c:v>
                </c:pt>
                <c:pt idx="1">
                  <c:v>SALES</c:v>
                </c:pt>
                <c:pt idx="2">
                  <c:v>MARKETING</c:v>
                </c:pt>
                <c:pt idx="3">
                  <c:v>FINANCE </c:v>
                </c:pt>
                <c:pt idx="4">
                  <c:v>HR</c:v>
                </c:pt>
                <c:pt idx="5">
                  <c:v>OPERATION</c:v>
                </c:pt>
              </c:strCache>
            </c:strRef>
          </c:cat>
          <c:val>
            <c:numRef>
              <c:f>HR!$X$7:$X$12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4-4767-AABB-A561DB0602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28575"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SALARY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SALARY DISTRIBUTION</a:t>
          </a:r>
        </a:p>
      </cx:txPr>
    </cx:title>
    <cx:plotArea>
      <cx:plotAreaRegion>
        <cx:series layoutId="clusteredColumn" uniqueId="{006D9C84-D7B0-49C8-86ED-3791623E36A8}">
          <cx:tx>
            <cx:txData>
              <cx:f>_xlchart.v1.0</cx:f>
              <cx:v>Salary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4B3D06DB-789D-4595-AC81-5ADF1126E4E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28575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45720</xdr:colOff>
      <xdr:row>4</xdr:row>
      <xdr:rowOff>30480</xdr:rowOff>
    </xdr:from>
    <xdr:to>
      <xdr:col>24</xdr:col>
      <xdr:colOff>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EFE6E-572D-1CBF-415B-2FDD54E96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32426</xdr:colOff>
      <xdr:row>4</xdr:row>
      <xdr:rowOff>24320</xdr:rowOff>
    </xdr:from>
    <xdr:to>
      <xdr:col>18</xdr:col>
      <xdr:colOff>8105</xdr:colOff>
      <xdr:row>18</xdr:row>
      <xdr:rowOff>178340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14094-9DA5-A01C-E87F-9365ED30D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</xdr:colOff>
      <xdr:row>4</xdr:row>
      <xdr:rowOff>30480</xdr:rowOff>
    </xdr:from>
    <xdr:to>
      <xdr:col>20</xdr:col>
      <xdr:colOff>0</xdr:colOff>
      <xdr:row>18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7DA087-A05B-639B-2BE6-BC0EE3AD7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</xdr:colOff>
      <xdr:row>4</xdr:row>
      <xdr:rowOff>15240</xdr:rowOff>
    </xdr:from>
    <xdr:to>
      <xdr:col>20</xdr:col>
      <xdr:colOff>998220</xdr:colOff>
      <xdr:row>18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D6A7E22-CC08-634C-F59E-B1C9938BE2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67460" y="883920"/>
              <a:ext cx="477774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38100</xdr:colOff>
      <xdr:row>13</xdr:row>
      <xdr:rowOff>15240</xdr:rowOff>
    </xdr:from>
    <xdr:to>
      <xdr:col>26</xdr:col>
      <xdr:colOff>548640</xdr:colOff>
      <xdr:row>27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634586-23E6-239B-9DB9-B1890FDBA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" refreshedDate="46068.945250925928" createdVersion="8" refreshedVersion="8" minRefreshableVersion="3" recordCount="21" xr:uid="{D751B8A2-7F3C-4691-A7CD-D9CA8B9812B1}">
  <cacheSource type="worksheet">
    <worksheetSource ref="C5:G26" sheet="SALES"/>
  </cacheSource>
  <cacheFields count="5">
    <cacheField name="Date" numFmtId="0">
      <sharedItems containsNonDate="0" containsDate="1" containsString="0" containsBlank="1" minDate="2026-01-01T00:00:00" maxDate="2026-01-21T00:00:00"/>
    </cacheField>
    <cacheField name="Product" numFmtId="0">
      <sharedItems containsBlank="1"/>
    </cacheField>
    <cacheField name="Region" numFmtId="0">
      <sharedItems containsBlank="1" count="5">
        <m/>
        <s v="North"/>
        <s v="East"/>
        <s v="South"/>
        <s v="West"/>
      </sharedItems>
    </cacheField>
    <cacheField name="Sales Amount" numFmtId="0">
      <sharedItems containsString="0" containsBlank="1" containsNumber="1" containsInteger="1" minValue="1000" maxValue="55000"/>
    </cacheField>
    <cacheField name="Profit" numFmtId="0">
      <sharedItems containsString="0" containsBlank="1" containsNumber="1" containsInteger="1" minValue="250" maxValue="79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" refreshedDate="46069.707976388891" createdVersion="8" refreshedVersion="8" minRefreshableVersion="3" recordCount="21" xr:uid="{24CEDC53-8ED9-4217-A845-7B869BE36179}">
  <cacheSource type="worksheet">
    <worksheetSource ref="B5:F26" sheet="FINANCE"/>
  </cacheSource>
  <cacheFields count="5">
    <cacheField name="Date" numFmtId="0">
      <sharedItems containsNonDate="0" containsDate="1" containsString="0" containsBlank="1" minDate="2001-02-01T00:00:00" maxDate="2001-02-21T00:00:00" count="21">
        <m/>
        <d v="2001-02-01T00:00:00"/>
        <d v="2001-02-02T00:00:00"/>
        <d v="2001-02-03T00:00:00"/>
        <d v="2001-02-04T00:00:00"/>
        <d v="2001-02-05T00:00:00"/>
        <d v="2001-02-06T00:00:00"/>
        <d v="2001-02-07T00:00:00"/>
        <d v="2001-02-08T00:00:00"/>
        <d v="2001-02-09T00:00:00"/>
        <d v="2001-02-10T00:00:00"/>
        <d v="2001-02-11T00:00:00"/>
        <d v="2001-02-12T00:00:00"/>
        <d v="2001-02-13T00:00:00"/>
        <d v="2001-02-14T00:00:00"/>
        <d v="2001-02-15T00:00:00"/>
        <d v="2001-02-16T00:00:00"/>
        <d v="2001-02-17T00:00:00"/>
        <d v="2001-02-18T00:00:00"/>
        <d v="2001-02-19T00:00:00"/>
        <d v="2001-02-20T00:00:00"/>
      </sharedItems>
    </cacheField>
    <cacheField name="Revenue" numFmtId="0">
      <sharedItems containsString="0" containsBlank="1" containsNumber="1" containsInteger="1" minValue="42000" maxValue="72000"/>
    </cacheField>
    <cacheField name="Expenses" numFmtId="0">
      <sharedItems containsString="0" containsBlank="1" containsNumber="1" containsInteger="1" minValue="31000" maxValue="51000"/>
    </cacheField>
    <cacheField name="Profit" numFmtId="0">
      <sharedItems containsString="0" containsBlank="1" containsNumber="1" containsInteger="1" minValue="-1000" maxValue="23000"/>
    </cacheField>
    <cacheField name="Budget vs Actual" numFmtId="0">
      <sharedItems containsString="0" containsBlank="1" containsNumber="1" minValue="-0.1" maxValue="0.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" refreshedDate="46069.803457060189" createdVersion="8" refreshedVersion="8" minRefreshableVersion="3" recordCount="21" xr:uid="{6278E585-36F7-4777-8E9C-69495B4E4F3F}">
  <cacheSource type="worksheet">
    <worksheetSource ref="B5:G26" sheet="HR"/>
  </cacheSource>
  <cacheFields count="6">
    <cacheField name="Date" numFmtId="0">
      <sharedItems containsNonDate="0" containsDate="1" containsString="0" containsBlank="1" minDate="2026-03-01T00:00:00" maxDate="2026-03-21T00:00:00"/>
    </cacheField>
    <cacheField name="Employee ID" numFmtId="0">
      <sharedItems containsBlank="1"/>
    </cacheField>
    <cacheField name="Department" numFmtId="0">
      <sharedItems containsBlank="1" count="7">
        <m/>
        <s v="IT"/>
        <s v="Sales"/>
        <s v="Marketing"/>
        <s v="Finance"/>
        <s v="HR"/>
        <s v="Operations"/>
      </sharedItems>
    </cacheField>
    <cacheField name="Salary" numFmtId="0">
      <sharedItems containsString="0" containsBlank="1" containsNumber="1" containsInteger="1" minValue="55000" maxValue="120000"/>
    </cacheField>
    <cacheField name="Experience(Yrs)" numFmtId="0">
      <sharedItems containsString="0" containsBlank="1" containsNumber="1" containsInteger="1" minValue="1" maxValue="15"/>
    </cacheField>
    <cacheField name="Attrition" numFmtId="0">
      <sharedItems containsBlank="1" count="3">
        <m/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" refreshedDate="46069.900954976853" createdVersion="8" refreshedVersion="8" minRefreshableVersion="3" recordCount="21" xr:uid="{96158350-9BE5-4912-8E53-EFDC1C72CA84}">
  <cacheSource type="worksheet">
    <worksheetSource ref="B5:G26" sheet="INSURANCE"/>
  </cacheSource>
  <cacheFields count="6">
    <cacheField name="Date" numFmtId="0">
      <sharedItems containsNonDate="0" containsDate="1" containsString="0" containsBlank="1" minDate="2001-04-01T00:00:00" maxDate="2020-04-02T00:00:00"/>
    </cacheField>
    <cacheField name="Policy Number" numFmtId="0">
      <sharedItems containsBlank="1"/>
    </cacheField>
    <cacheField name="Customer Age" numFmtId="0">
      <sharedItems containsString="0" containsBlank="1" containsNumber="1" containsInteger="1" minValue="23" maxValue="62"/>
    </cacheField>
    <cacheField name="Premium " numFmtId="0">
      <sharedItems containsString="0" containsBlank="1" containsNumber="1" containsInteger="1" minValue="800" maxValue="4000"/>
    </cacheField>
    <cacheField name="Claim Amount" numFmtId="0">
      <sharedItems containsString="0" containsBlank="1" containsNumber="1" containsInteger="1" minValue="0" maxValue="15000"/>
    </cacheField>
    <cacheField name="Policy Type" numFmtId="0">
      <sharedItems containsBlank="1" count="5">
        <m/>
        <s v="Auto"/>
        <s v="Home"/>
        <s v="Health"/>
        <s v="Lif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m/>
    <m/>
    <x v="0"/>
    <m/>
    <m/>
  </r>
  <r>
    <d v="2026-01-01T00:00:00"/>
    <s v="Laptop"/>
    <x v="1"/>
    <n v="55000"/>
    <n v="3500"/>
  </r>
  <r>
    <d v="2026-01-02T00:00:00"/>
    <s v="Powerbank"/>
    <x v="2"/>
    <n v="2000"/>
    <n v="500"/>
  </r>
  <r>
    <d v="2026-01-03T00:00:00"/>
    <s v="Mobile"/>
    <x v="3"/>
    <n v="31700"/>
    <n v="1700"/>
  </r>
  <r>
    <d v="2026-01-04T00:00:00"/>
    <s v="Watch"/>
    <x v="4"/>
    <n v="1570"/>
    <n v="420"/>
  </r>
  <r>
    <d v="2026-01-05T00:00:00"/>
    <s v="Tablet"/>
    <x v="1"/>
    <n v="28000"/>
    <n v="7920"/>
  </r>
  <r>
    <d v="2026-01-06T00:00:00"/>
    <s v="Headphones"/>
    <x v="2"/>
    <n v="2999"/>
    <n v="400"/>
  </r>
  <r>
    <d v="2026-01-07T00:00:00"/>
    <s v="TV"/>
    <x v="3"/>
    <n v="22490"/>
    <n v="6100"/>
  </r>
  <r>
    <d v="2026-01-08T00:00:00"/>
    <s v="Refrigerator"/>
    <x v="4"/>
    <n v="8550"/>
    <n v="2540"/>
  </r>
  <r>
    <d v="2026-01-09T00:00:00"/>
    <s v="Mobile"/>
    <x v="1"/>
    <n v="12999"/>
    <n v="2950"/>
  </r>
  <r>
    <d v="2026-01-10T00:00:00"/>
    <s v="Watch"/>
    <x v="2"/>
    <n v="4500"/>
    <n v="1200"/>
  </r>
  <r>
    <d v="2026-01-11T00:00:00"/>
    <s v="Tablet"/>
    <x v="3"/>
    <n v="15000"/>
    <n v="3200"/>
  </r>
  <r>
    <d v="2026-01-12T00:00:00"/>
    <s v="Headphones"/>
    <x v="4"/>
    <n v="1200"/>
    <n v="450"/>
  </r>
  <r>
    <d v="2026-01-13T00:00:00"/>
    <s v="TV"/>
    <x v="1"/>
    <n v="45000"/>
    <n v="6000"/>
  </r>
  <r>
    <d v="2026-01-14T00:00:00"/>
    <s v="Refrigerator"/>
    <x v="2"/>
    <n v="25000"/>
    <n v="3500"/>
  </r>
  <r>
    <d v="2026-01-15T00:00:00"/>
    <s v="Laptop"/>
    <x v="3"/>
    <n v="35000"/>
    <n v="6500"/>
  </r>
  <r>
    <d v="2026-01-16T00:00:00"/>
    <s v="Powerbank"/>
    <x v="4"/>
    <n v="3000"/>
    <n v="800"/>
  </r>
  <r>
    <d v="2026-01-17T00:00:00"/>
    <s v="Mobile"/>
    <x v="1"/>
    <n v="40000"/>
    <n v="6420"/>
  </r>
  <r>
    <d v="2026-01-18T00:00:00"/>
    <s v="Watch"/>
    <x v="2"/>
    <n v="2000"/>
    <n v="650"/>
  </r>
  <r>
    <d v="2026-01-19T00:00:00"/>
    <s v="Tablet"/>
    <x v="3"/>
    <n v="18000"/>
    <n v="3400"/>
  </r>
  <r>
    <d v="2026-01-20T00:00:00"/>
    <s v="Headphones"/>
    <x v="1"/>
    <n v="1000"/>
    <n v="2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m/>
    <m/>
    <m/>
    <m/>
  </r>
  <r>
    <x v="1"/>
    <n v="45000"/>
    <n v="32000"/>
    <n v="13000"/>
    <n v="0.05"/>
  </r>
  <r>
    <x v="2"/>
    <n v="52000"/>
    <n v="35000"/>
    <n v="17000"/>
    <n v="0.02"/>
  </r>
  <r>
    <x v="3"/>
    <n v="48000"/>
    <n v="49000"/>
    <n v="-1000"/>
    <n v="-0.08"/>
  </r>
  <r>
    <x v="4"/>
    <n v="61000"/>
    <n v="42000"/>
    <n v="19000"/>
    <n v="0.12"/>
  </r>
  <r>
    <x v="5"/>
    <n v="55000"/>
    <n v="38000"/>
    <n v="17000"/>
    <n v="0.01"/>
  </r>
  <r>
    <x v="6"/>
    <n v="42000"/>
    <n v="40000"/>
    <n v="2000"/>
    <n v="-0.04"/>
  </r>
  <r>
    <x v="7"/>
    <n v="59000"/>
    <n v="36000"/>
    <n v="23000"/>
    <n v="0.15"/>
  </r>
  <r>
    <x v="8"/>
    <n v="64000"/>
    <n v="45000"/>
    <n v="19000"/>
    <n v="0.06"/>
  </r>
  <r>
    <x v="9"/>
    <n v="47000"/>
    <n v="31000"/>
    <n v="16000"/>
    <n v="0.03"/>
  </r>
  <r>
    <x v="10"/>
    <n v="50000"/>
    <n v="48000"/>
    <n v="2000"/>
    <n v="-0.1"/>
  </r>
  <r>
    <x v="11"/>
    <n v="72000"/>
    <n v="51000"/>
    <n v="21000"/>
    <n v="0.18"/>
  </r>
  <r>
    <x v="12"/>
    <n v="53000"/>
    <n v="39000"/>
    <n v="14000"/>
    <n v="-0.02"/>
  </r>
  <r>
    <x v="13"/>
    <n v="49000"/>
    <n v="34000"/>
    <n v="15000"/>
    <n v="0.04"/>
  </r>
  <r>
    <x v="14"/>
    <n v="58000"/>
    <n v="42000"/>
    <n v="16000"/>
    <n v="0"/>
  </r>
  <r>
    <x v="15"/>
    <n v="65000"/>
    <n v="46000"/>
    <n v="19000"/>
    <n v="7.0000000000000007E-2"/>
  </r>
  <r>
    <x v="16"/>
    <n v="44000"/>
    <n v="33000"/>
    <n v="11000"/>
    <n v="-0.03"/>
  </r>
  <r>
    <x v="17"/>
    <n v="51000"/>
    <n v="37000"/>
    <n v="14000"/>
    <n v="0.02"/>
  </r>
  <r>
    <x v="18"/>
    <n v="68000"/>
    <n v="50000"/>
    <n v="18000"/>
    <n v="0.09"/>
  </r>
  <r>
    <x v="19"/>
    <n v="60000"/>
    <n v="43000"/>
    <n v="17000"/>
    <n v="0.05"/>
  </r>
  <r>
    <x v="20"/>
    <n v="54000"/>
    <n v="35000"/>
    <n v="19000"/>
    <n v="0.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m/>
    <m/>
    <x v="0"/>
    <m/>
    <m/>
    <x v="0"/>
  </r>
  <r>
    <d v="2026-03-01T00:00:00"/>
    <s v="EMP-101"/>
    <x v="1"/>
    <n v="85000"/>
    <n v="5"/>
    <x v="1"/>
  </r>
  <r>
    <d v="2026-03-02T00:00:00"/>
    <s v="EMP-102"/>
    <x v="2"/>
    <n v="62000"/>
    <n v="3"/>
    <x v="2"/>
  </r>
  <r>
    <d v="2026-03-03T00:00:00"/>
    <s v="EMP-103"/>
    <x v="3"/>
    <n v="71000"/>
    <n v="4"/>
    <x v="1"/>
  </r>
  <r>
    <d v="2026-03-04T00:00:00"/>
    <s v="EMP-104"/>
    <x v="4"/>
    <n v="92000"/>
    <n v="8"/>
    <x v="1"/>
  </r>
  <r>
    <d v="2026-03-05T00:00:00"/>
    <s v="EMP-105"/>
    <x v="5"/>
    <n v="68000"/>
    <n v="6"/>
    <x v="1"/>
  </r>
  <r>
    <d v="2026-03-06T00:00:00"/>
    <s v="EMP-106"/>
    <x v="1"/>
    <n v="105000"/>
    <n v="12"/>
    <x v="1"/>
  </r>
  <r>
    <d v="2026-03-07T00:00:00"/>
    <s v="EMP-107"/>
    <x v="2"/>
    <n v="58000"/>
    <n v="2"/>
    <x v="2"/>
  </r>
  <r>
    <d v="2026-03-08T00:00:00"/>
    <s v="EMP-108"/>
    <x v="6"/>
    <n v="85000"/>
    <n v="5"/>
    <x v="1"/>
  </r>
  <r>
    <d v="2026-03-09T00:00:00"/>
    <s v="EMP-109"/>
    <x v="3"/>
    <n v="69000"/>
    <n v="3"/>
    <x v="1"/>
  </r>
  <r>
    <d v="2026-03-10T00:00:00"/>
    <s v="EMP-110"/>
    <x v="1"/>
    <n v="88000"/>
    <n v="7"/>
    <x v="1"/>
  </r>
  <r>
    <d v="2026-03-11T00:00:00"/>
    <s v="EMP-111"/>
    <x v="4"/>
    <n v="115000"/>
    <n v="15"/>
    <x v="1"/>
  </r>
  <r>
    <d v="2026-03-12T00:00:00"/>
    <s v="EMP-112"/>
    <x v="5"/>
    <n v="61000"/>
    <n v="2"/>
    <x v="2"/>
  </r>
  <r>
    <d v="2026-03-13T00:00:00"/>
    <s v="EMP-113"/>
    <x v="2"/>
    <n v="64000"/>
    <n v="4"/>
    <x v="1"/>
  </r>
  <r>
    <d v="2026-03-14T00:00:00"/>
    <s v="EMP-114"/>
    <x v="6"/>
    <n v="82000"/>
    <n v="9"/>
    <x v="1"/>
  </r>
  <r>
    <d v="2026-03-15T00:00:00"/>
    <s v="EMP-115"/>
    <x v="1"/>
    <n v="95000"/>
    <n v="10"/>
    <x v="1"/>
  </r>
  <r>
    <d v="2026-03-16T00:00:00"/>
    <s v="EMP-116"/>
    <x v="3"/>
    <n v="73000"/>
    <n v="5"/>
    <x v="2"/>
  </r>
  <r>
    <d v="2026-03-17T00:00:00"/>
    <s v="EMP-117"/>
    <x v="4"/>
    <n v="89000"/>
    <n v="7"/>
    <x v="1"/>
  </r>
  <r>
    <d v="2026-03-18T00:00:00"/>
    <s v="EMP-118"/>
    <x v="5"/>
    <n v="77000"/>
    <n v="8"/>
    <x v="1"/>
  </r>
  <r>
    <d v="2026-03-19T00:00:00"/>
    <s v="EMP-119"/>
    <x v="1"/>
    <n v="120000"/>
    <n v="14"/>
    <x v="1"/>
  </r>
  <r>
    <d v="2026-03-20T00:00:00"/>
    <s v="EMP-120"/>
    <x v="2"/>
    <n v="55000"/>
    <n v="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m/>
    <m/>
    <m/>
    <m/>
    <m/>
    <x v="0"/>
  </r>
  <r>
    <d v="2001-04-01T00:00:00"/>
    <s v="POL-8821"/>
    <n v="34"/>
    <n v="1200"/>
    <n v="0"/>
    <x v="1"/>
  </r>
  <r>
    <d v="2002-04-01T00:00:00"/>
    <s v="POL-4321"/>
    <n v="45"/>
    <n v="2500"/>
    <n v="4500"/>
    <x v="2"/>
  </r>
  <r>
    <d v="2003-04-01T00:00:00"/>
    <s v="POL-9901"/>
    <n v="28"/>
    <n v="800"/>
    <n v="1200"/>
    <x v="3"/>
  </r>
  <r>
    <d v="2004-04-01T00:00:00"/>
    <s v="POL-6787"/>
    <n v="62"/>
    <n v="3200"/>
    <n v="0"/>
    <x v="4"/>
  </r>
  <r>
    <d v="2005-04-01T00:00:00"/>
    <s v="POL-4783"/>
    <n v="51"/>
    <n v="1500"/>
    <n v="800"/>
    <x v="1"/>
  </r>
  <r>
    <d v="2006-04-01T00:00:00"/>
    <s v="POL-7894"/>
    <n v="39"/>
    <n v="2100"/>
    <n v="0"/>
    <x v="2"/>
  </r>
  <r>
    <d v="2007-04-01T00:00:00"/>
    <s v="POL-8726"/>
    <n v="23"/>
    <n v="950"/>
    <n v="300"/>
    <x v="3"/>
  </r>
  <r>
    <d v="2008-04-01T00:00:00"/>
    <s v="POL-8765"/>
    <n v="48"/>
    <n v="1800"/>
    <n v="15000"/>
    <x v="4"/>
  </r>
  <r>
    <d v="2009-04-01T00:00:00"/>
    <s v="POL-9852"/>
    <n v="31"/>
    <n v="1100"/>
    <n v="0"/>
    <x v="1"/>
  </r>
  <r>
    <d v="2010-04-01T00:00:00"/>
    <s v="POL-1167"/>
    <n v="55"/>
    <n v="2800"/>
    <n v="1200"/>
    <x v="2"/>
  </r>
  <r>
    <d v="2011-04-01T00:00:00"/>
    <s v="POL-2567"/>
    <n v="29"/>
    <n v="850"/>
    <n v="0"/>
    <x v="3"/>
  </r>
  <r>
    <d v="2012-04-01T00:00:00"/>
    <s v="POL-2298"/>
    <n v="42"/>
    <n v="1400"/>
    <n v="250"/>
    <x v="1"/>
  </r>
  <r>
    <d v="2013-04-01T00:00:00"/>
    <s v="POL-6757"/>
    <n v="37"/>
    <n v="2300"/>
    <n v="0"/>
    <x v="2"/>
  </r>
  <r>
    <d v="2014-04-01T00:00:00"/>
    <s v="POL-8756"/>
    <n v="60"/>
    <n v="4000"/>
    <n v="0"/>
    <x v="4"/>
  </r>
  <r>
    <d v="2015-04-01T00:00:00"/>
    <s v="POL-3838"/>
    <n v="25"/>
    <n v="1000"/>
    <n v="5000"/>
    <x v="3"/>
  </r>
  <r>
    <d v="2016-04-01T00:00:00"/>
    <s v="POL-7868"/>
    <n v="53"/>
    <n v="1600"/>
    <n v="0"/>
    <x v="1"/>
  </r>
  <r>
    <d v="2017-04-01T00:00:00"/>
    <s v="POL-8836"/>
    <n v="41"/>
    <n v="3200"/>
    <n v="8500"/>
    <x v="2"/>
  </r>
  <r>
    <d v="2018-04-01T00:00:00"/>
    <s v="POL-7878"/>
    <n v="33"/>
    <n v="1150"/>
    <n v="0"/>
    <x v="1"/>
  </r>
  <r>
    <d v="2019-04-01T00:00:00"/>
    <s v="POL-7984"/>
    <n v="42"/>
    <n v="1900"/>
    <n v="0"/>
    <x v="3"/>
  </r>
  <r>
    <d v="2020-04-01T00:00:00"/>
    <s v="POL-7760"/>
    <n v="35"/>
    <n v="1300"/>
    <n v="4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11E5E-947E-42E7-A040-7A8A0654BD3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Q5:R10" firstHeaderRow="1" firstDataRow="1" firstDataCol="1"/>
  <pivotFields count="5">
    <pivotField showAll="0"/>
    <pivotField showAll="0"/>
    <pivotField axis="axisRow" showAll="0">
      <items count="6">
        <item x="2"/>
        <item x="1"/>
        <item x="3"/>
        <item x="4"/>
        <item h="1" x="0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3" baseField="2" baseItem="0"/>
  </dataFields>
  <formats count="20">
    <format dxfId="49">
      <pivotArea field="2" type="button" dataOnly="0" labelOnly="1" outline="0" axis="axisRow" fieldPosition="0"/>
    </format>
    <format dxfId="48">
      <pivotArea dataOnly="0" labelOnly="1" outline="0" axis="axisValues" fieldPosition="0"/>
    </format>
    <format dxfId="47">
      <pivotArea dataOnly="0" grandRow="1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grandRow="1" outline="0" fieldPosition="0"/>
    </format>
    <format dxfId="37">
      <pivotArea field="2" type="button" dataOnly="0" labelOnly="1" outline="0" axis="axisRow" fieldPosition="0"/>
    </format>
    <format dxfId="36">
      <pivotArea dataOnly="0" labelOnly="1" outline="0" axis="axisValues" fieldPosition="0"/>
    </format>
    <format dxfId="35">
      <pivotArea dataOnly="0" labelOnly="1" outline="0" axis="axisValues" fieldPosition="0"/>
    </format>
    <format dxfId="34">
      <pivotArea field="2" type="button" dataOnly="0" labelOnly="1" outline="0" axis="axisRow" fieldPosition="0"/>
    </format>
    <format dxfId="33">
      <pivotArea collapsedLevelsAreSubtotals="1" fieldPosition="0">
        <references count="1">
          <reference field="2" count="0"/>
        </references>
      </pivotArea>
    </format>
    <format dxfId="32">
      <pivotArea dataOnly="0" labelOnly="1" fieldPosition="0">
        <references count="1">
          <reference field="2" count="0"/>
        </references>
      </pivotArea>
    </format>
    <format dxfId="31">
      <pivotArea collapsedLevelsAreSubtotals="1" fieldPosition="0">
        <references count="1">
          <reference field="2" count="0"/>
        </references>
      </pivotArea>
    </format>
    <format dxfId="3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C10CF-B773-4E43-89BA-3F85C629FF2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:N6" firstHeaderRow="1" firstDataRow="1" firstDataCol="0"/>
  <pivotFields count="5">
    <pivotField showAll="0">
      <items count="2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0"/>
        <item t="default"/>
      </items>
    </pivotField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EXPENSES CATEGORY ANALYSIS" fld="2" baseField="0" baseItem="0"/>
  </dataFields>
  <formats count="8"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labelOnly="1" outline="0" axis="axisValues" fieldPosition="0"/>
    </format>
    <format dxfId="25">
      <pivotArea outline="0" collapsedLevelsAreSubtotals="1" fieldPosition="0"/>
    </format>
    <format dxfId="24">
      <pivotArea outline="0" collapsedLevelsAreSubtotals="1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4D8E7-10D7-4819-87D4-D27C5C91A0A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O21" firstHeaderRow="1" firstDataRow="1" firstDataCol="1"/>
  <pivotFields count="6">
    <pivotField showAll="0"/>
    <pivotField showAll="0"/>
    <pivotField axis="axisRow" showAll="0">
      <items count="8">
        <item x="4"/>
        <item x="5"/>
        <item x="1"/>
        <item x="3"/>
        <item x="6"/>
        <item x="2"/>
        <item h="1" x="0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2">
    <field x="2"/>
    <field x="5"/>
  </rowFields>
  <rowItems count="16">
    <i>
      <x/>
    </i>
    <i r="1">
      <x/>
    </i>
    <i>
      <x v="1"/>
    </i>
    <i r="1">
      <x/>
    </i>
    <i r="1">
      <x v="1"/>
    </i>
    <i>
      <x v="2"/>
    </i>
    <i r="1">
      <x/>
    </i>
    <i>
      <x v="3"/>
    </i>
    <i r="1">
      <x/>
    </i>
    <i r="1">
      <x v="1"/>
    </i>
    <i>
      <x v="4"/>
    </i>
    <i r="1">
      <x/>
    </i>
    <i>
      <x v="5"/>
    </i>
    <i r="1">
      <x/>
    </i>
    <i r="1">
      <x v="1"/>
    </i>
    <i t="grand">
      <x/>
    </i>
  </rowItems>
  <colItems count="1">
    <i/>
  </colItems>
  <formats count="10">
    <format dxfId="21">
      <pivotArea type="all" dataOnly="0" outline="0" fieldPosition="0"/>
    </format>
    <format dxfId="20">
      <pivotArea field="2" type="button" dataOnly="0" labelOnly="1" outline="0" axis="axisRow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2">
          <reference field="2" count="1" selected="0">
            <x v="0"/>
          </reference>
          <reference field="5" count="1">
            <x v="0"/>
          </reference>
        </references>
      </pivotArea>
    </format>
    <format dxfId="16">
      <pivotArea dataOnly="0" labelOnly="1" fieldPosition="0">
        <references count="2">
          <reference field="2" count="1" selected="0">
            <x v="1"/>
          </reference>
          <reference field="5" count="2">
            <x v="0"/>
            <x v="1"/>
          </reference>
        </references>
      </pivotArea>
    </format>
    <format dxfId="15">
      <pivotArea dataOnly="0" labelOnly="1" fieldPosition="0">
        <references count="2">
          <reference field="2" count="1" selected="0">
            <x v="2"/>
          </reference>
          <reference field="5" count="1">
            <x v="0"/>
          </reference>
        </references>
      </pivotArea>
    </format>
    <format dxfId="14">
      <pivotArea dataOnly="0" labelOnly="1" fieldPosition="0">
        <references count="2">
          <reference field="2" count="1" selected="0">
            <x v="3"/>
          </reference>
          <reference field="5" count="2">
            <x v="0"/>
            <x v="1"/>
          </reference>
        </references>
      </pivotArea>
    </format>
    <format dxfId="13">
      <pivotArea dataOnly="0" labelOnly="1" fieldPosition="0">
        <references count="2">
          <reference field="2" count="1" selected="0">
            <x v="4"/>
          </reference>
          <reference field="5" count="1">
            <x v="0"/>
          </reference>
        </references>
      </pivotArea>
    </format>
    <format dxfId="12">
      <pivotArea dataOnly="0" labelOnly="1" fieldPosition="0">
        <references count="2">
          <reference field="2" count="1" selected="0">
            <x v="5"/>
          </reference>
          <reference field="5" count="2">
            <x v="0"/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F737E-BA4B-4A23-AF2A-8C6CC646E3A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P10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6">
        <item x="1"/>
        <item x="3"/>
        <item x="2"/>
        <item x="4"/>
        <item h="1"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laim Amount" fld="4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5" count="0"/>
        </references>
      </pivotArea>
    </format>
    <format dxfId="4">
      <pivotArea dataOnly="0" labelOnly="1" fieldPosition="0">
        <references count="1">
          <reference field="5" count="0"/>
        </references>
      </pivotArea>
    </format>
    <format dxfId="3">
      <pivotArea collapsedLevelsAreSubtotals="1" fieldPosition="0">
        <references count="1">
          <reference field="5" count="0"/>
        </references>
      </pivotArea>
    </format>
    <format dxfId="2">
      <pivotArea dataOnly="0" labelOnly="1" fieldPosition="0">
        <references count="1">
          <reference field="5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F4F6-8262-45D8-86AC-4598F7386294}">
  <dimension ref="C2:X30"/>
  <sheetViews>
    <sheetView workbookViewId="0">
      <selection activeCell="R19" sqref="R19"/>
    </sheetView>
  </sheetViews>
  <sheetFormatPr defaultRowHeight="14.4" x14ac:dyDescent="0.3"/>
  <cols>
    <col min="3" max="3" width="10.44140625" customWidth="1"/>
    <col min="4" max="4" width="12.44140625" customWidth="1"/>
    <col min="5" max="5" width="9.88671875" customWidth="1"/>
    <col min="6" max="6" width="15.77734375" customWidth="1"/>
    <col min="7" max="7" width="11" customWidth="1"/>
    <col min="8" max="8" width="5.109375" customWidth="1"/>
    <col min="9" max="9" width="27.77734375" bestFit="1" customWidth="1"/>
    <col min="10" max="10" width="11" style="1" customWidth="1"/>
    <col min="12" max="12" width="20.44140625" bestFit="1" customWidth="1"/>
    <col min="13" max="13" width="15.6640625" style="1" bestFit="1" customWidth="1"/>
    <col min="14" max="14" width="20.44140625" bestFit="1" customWidth="1"/>
    <col min="16" max="16" width="4.5546875" customWidth="1"/>
    <col min="17" max="17" width="26" customWidth="1"/>
    <col min="18" max="18" width="24.109375" customWidth="1"/>
    <col min="20" max="20" width="18.6640625" customWidth="1"/>
    <col min="21" max="21" width="19.109375" customWidth="1"/>
    <col min="22" max="22" width="20.33203125" customWidth="1"/>
    <col min="23" max="23" width="18.77734375" customWidth="1"/>
    <col min="24" max="24" width="17.5546875" customWidth="1"/>
  </cols>
  <sheetData>
    <row r="2" spans="3:24" ht="15" thickBot="1" x14ac:dyDescent="0.35"/>
    <row r="3" spans="3:24" ht="24" thickBot="1" x14ac:dyDescent="0.5">
      <c r="C3" s="90" t="s">
        <v>0</v>
      </c>
      <c r="D3" s="91"/>
      <c r="E3" s="91"/>
      <c r="F3" s="91"/>
      <c r="G3" s="92"/>
      <c r="I3" s="103" t="s">
        <v>18</v>
      </c>
      <c r="J3" s="104"/>
      <c r="K3" s="104"/>
      <c r="L3" s="104"/>
      <c r="M3" s="104"/>
      <c r="N3" s="104"/>
      <c r="O3" s="105"/>
      <c r="Q3" s="103" t="s">
        <v>122</v>
      </c>
      <c r="R3" s="105"/>
      <c r="T3" s="103" t="s">
        <v>165</v>
      </c>
      <c r="U3" s="104"/>
      <c r="V3" s="104"/>
      <c r="W3" s="104"/>
      <c r="X3" s="105"/>
    </row>
    <row r="4" spans="3:24" ht="15" thickBot="1" x14ac:dyDescent="0.35">
      <c r="C4" s="97"/>
      <c r="D4" s="98"/>
      <c r="E4" s="98"/>
      <c r="F4" s="98"/>
      <c r="G4" s="99"/>
    </row>
    <row r="5" spans="3:24" ht="18.600000000000001" thickBot="1" x14ac:dyDescent="0.35">
      <c r="C5" s="7" t="s">
        <v>1</v>
      </c>
      <c r="D5" s="6" t="s">
        <v>2</v>
      </c>
      <c r="E5" s="6" t="s">
        <v>11</v>
      </c>
      <c r="F5" s="6" t="s">
        <v>16</v>
      </c>
      <c r="G5" s="8" t="s">
        <v>17</v>
      </c>
      <c r="I5" s="93" t="s">
        <v>19</v>
      </c>
      <c r="J5" s="94"/>
      <c r="L5" s="88" t="s">
        <v>22</v>
      </c>
      <c r="M5" s="89"/>
      <c r="Q5" s="21" t="s">
        <v>125</v>
      </c>
      <c r="R5" s="20" t="s">
        <v>124</v>
      </c>
    </row>
    <row r="6" spans="3:24" x14ac:dyDescent="0.3">
      <c r="C6" s="100"/>
      <c r="D6" s="101"/>
      <c r="E6" s="101"/>
      <c r="F6" s="101"/>
      <c r="G6" s="102"/>
      <c r="I6" s="95"/>
      <c r="J6" s="96"/>
      <c r="L6" s="95"/>
      <c r="M6" s="96"/>
      <c r="Q6" s="36" t="s">
        <v>13</v>
      </c>
      <c r="R6" s="57">
        <v>36499</v>
      </c>
    </row>
    <row r="7" spans="3:24" x14ac:dyDescent="0.3">
      <c r="C7" s="22">
        <v>46023</v>
      </c>
      <c r="D7" s="23" t="s">
        <v>3</v>
      </c>
      <c r="E7" s="23" t="s">
        <v>12</v>
      </c>
      <c r="F7" s="24">
        <v>55000</v>
      </c>
      <c r="G7" s="25">
        <v>3500</v>
      </c>
      <c r="I7" s="36" t="s">
        <v>126</v>
      </c>
      <c r="J7" s="37">
        <f>SUM(F7:F26)</f>
        <v>355008</v>
      </c>
      <c r="L7" s="36" t="s">
        <v>148</v>
      </c>
      <c r="M7" s="40">
        <f ca="1">TODAY()</f>
        <v>46073</v>
      </c>
      <c r="Q7" s="36" t="s">
        <v>12</v>
      </c>
      <c r="R7" s="57">
        <v>181999</v>
      </c>
    </row>
    <row r="8" spans="3:24" x14ac:dyDescent="0.3">
      <c r="C8" s="22">
        <v>46024</v>
      </c>
      <c r="D8" s="23" t="s">
        <v>4</v>
      </c>
      <c r="E8" s="23" t="s">
        <v>13</v>
      </c>
      <c r="F8" s="24">
        <v>2000</v>
      </c>
      <c r="G8" s="25">
        <v>500</v>
      </c>
      <c r="I8" s="36" t="s">
        <v>128</v>
      </c>
      <c r="J8" s="37">
        <f>MIN(F7:F26)</f>
        <v>1000</v>
      </c>
      <c r="L8" s="36" t="s">
        <v>149</v>
      </c>
      <c r="M8" s="41">
        <f ca="1">NOW()</f>
        <v>46073.626656597226</v>
      </c>
      <c r="Q8" s="36" t="s">
        <v>14</v>
      </c>
      <c r="R8" s="57">
        <v>122190</v>
      </c>
    </row>
    <row r="9" spans="3:24" ht="15" thickBot="1" x14ac:dyDescent="0.35">
      <c r="C9" s="22">
        <v>46025</v>
      </c>
      <c r="D9" s="23" t="s">
        <v>5</v>
      </c>
      <c r="E9" s="23" t="s">
        <v>14</v>
      </c>
      <c r="F9" s="24">
        <v>31700</v>
      </c>
      <c r="G9" s="25">
        <v>1700</v>
      </c>
      <c r="I9" s="36" t="s">
        <v>139</v>
      </c>
      <c r="J9" s="37">
        <f>MAX(F7:F26)</f>
        <v>55000</v>
      </c>
      <c r="L9" s="38" t="s">
        <v>150</v>
      </c>
      <c r="M9" s="39">
        <f>DATEDIF(C7,C26,"d")</f>
        <v>19</v>
      </c>
      <c r="Q9" s="36" t="s">
        <v>15</v>
      </c>
      <c r="R9" s="57">
        <v>14320</v>
      </c>
    </row>
    <row r="10" spans="3:24" ht="15" thickBot="1" x14ac:dyDescent="0.35">
      <c r="C10" s="22">
        <v>46026</v>
      </c>
      <c r="D10" s="23" t="s">
        <v>6</v>
      </c>
      <c r="E10" s="23" t="s">
        <v>15</v>
      </c>
      <c r="F10" s="24">
        <v>1570</v>
      </c>
      <c r="G10" s="25">
        <v>420</v>
      </c>
      <c r="I10" s="36" t="s">
        <v>130</v>
      </c>
      <c r="J10" s="37">
        <f>COUNT(F7:F26)</f>
        <v>20</v>
      </c>
      <c r="Q10" s="18" t="s">
        <v>123</v>
      </c>
      <c r="R10" s="19">
        <v>355008</v>
      </c>
    </row>
    <row r="11" spans="3:24" ht="15" thickBot="1" x14ac:dyDescent="0.35">
      <c r="C11" s="22">
        <v>46027</v>
      </c>
      <c r="D11" s="23" t="s">
        <v>7</v>
      </c>
      <c r="E11" s="23" t="s">
        <v>12</v>
      </c>
      <c r="F11" s="24">
        <v>28000</v>
      </c>
      <c r="G11" s="25">
        <v>7920</v>
      </c>
      <c r="I11" s="36" t="s">
        <v>152</v>
      </c>
      <c r="J11" s="37">
        <f>SUM(G7:G26)</f>
        <v>58400</v>
      </c>
    </row>
    <row r="12" spans="3:24" ht="16.2" thickBot="1" x14ac:dyDescent="0.35">
      <c r="C12" s="22">
        <v>46028</v>
      </c>
      <c r="D12" s="23" t="s">
        <v>8</v>
      </c>
      <c r="E12" s="23" t="s">
        <v>13</v>
      </c>
      <c r="F12" s="24">
        <v>2999</v>
      </c>
      <c r="G12" s="25">
        <v>400</v>
      </c>
      <c r="I12" s="38" t="s">
        <v>153</v>
      </c>
      <c r="J12" s="39">
        <f>AVERAGE(G7:G26)</f>
        <v>2920</v>
      </c>
      <c r="L12" s="88" t="s">
        <v>23</v>
      </c>
      <c r="M12" s="89"/>
    </row>
    <row r="13" spans="3:24" ht="15" thickBot="1" x14ac:dyDescent="0.35">
      <c r="C13" s="22">
        <v>46029</v>
      </c>
      <c r="D13" s="23" t="s">
        <v>9</v>
      </c>
      <c r="E13" s="23" t="s">
        <v>14</v>
      </c>
      <c r="F13" s="24">
        <v>22490</v>
      </c>
      <c r="G13" s="25">
        <v>6100</v>
      </c>
      <c r="L13" s="86"/>
      <c r="M13" s="87"/>
    </row>
    <row r="14" spans="3:24" ht="16.2" thickBot="1" x14ac:dyDescent="0.35">
      <c r="C14" s="22">
        <v>46030</v>
      </c>
      <c r="D14" s="23" t="s">
        <v>10</v>
      </c>
      <c r="E14" s="23" t="s">
        <v>15</v>
      </c>
      <c r="F14" s="24">
        <v>8550</v>
      </c>
      <c r="G14" s="25">
        <v>2540</v>
      </c>
      <c r="I14" s="88" t="s">
        <v>21</v>
      </c>
      <c r="J14" s="89"/>
      <c r="L14" s="36" t="s">
        <v>24</v>
      </c>
      <c r="M14" s="42">
        <f>PMT(0.05/12,60,F7)</f>
        <v>-1037.9178504206016</v>
      </c>
    </row>
    <row r="15" spans="3:24" ht="15" thickBot="1" x14ac:dyDescent="0.35">
      <c r="C15" s="22">
        <v>46031</v>
      </c>
      <c r="D15" s="23" t="s">
        <v>5</v>
      </c>
      <c r="E15" s="23" t="s">
        <v>12</v>
      </c>
      <c r="F15" s="24">
        <v>12999</v>
      </c>
      <c r="G15" s="25">
        <v>2950</v>
      </c>
      <c r="I15" s="86"/>
      <c r="J15" s="87"/>
      <c r="L15" s="38" t="s">
        <v>25</v>
      </c>
      <c r="M15" s="43">
        <f>NPV(0.1,F7:F26)</f>
        <v>164052.75601412629</v>
      </c>
    </row>
    <row r="16" spans="3:24" ht="15" thickBot="1" x14ac:dyDescent="0.35">
      <c r="C16" s="22">
        <v>46032</v>
      </c>
      <c r="D16" s="23" t="s">
        <v>6</v>
      </c>
      <c r="E16" s="23" t="s">
        <v>13</v>
      </c>
      <c r="F16" s="24">
        <v>4500</v>
      </c>
      <c r="G16" s="25">
        <v>1200</v>
      </c>
      <c r="I16" s="36" t="s">
        <v>131</v>
      </c>
      <c r="J16" s="37" t="str">
        <f>IF(F7&gt;20000,"GOOD","AVERAGE")</f>
        <v>GOOD</v>
      </c>
    </row>
    <row r="17" spans="3:15" ht="16.2" thickBot="1" x14ac:dyDescent="0.35">
      <c r="C17" s="22">
        <v>46033</v>
      </c>
      <c r="D17" s="23" t="s">
        <v>7</v>
      </c>
      <c r="E17" s="23" t="s">
        <v>14</v>
      </c>
      <c r="F17" s="24">
        <v>15000</v>
      </c>
      <c r="G17" s="25">
        <v>3200</v>
      </c>
      <c r="I17" s="36" t="s">
        <v>132</v>
      </c>
      <c r="J17" s="37" t="b">
        <f>AND(F7&gt;50000,G7&gt;3000)</f>
        <v>1</v>
      </c>
      <c r="L17" s="88" t="s">
        <v>26</v>
      </c>
      <c r="M17" s="113"/>
      <c r="N17" s="113"/>
      <c r="O17" s="89"/>
    </row>
    <row r="18" spans="3:15" ht="15" thickBot="1" x14ac:dyDescent="0.35">
      <c r="C18" s="22">
        <v>46034</v>
      </c>
      <c r="D18" s="23" t="s">
        <v>8</v>
      </c>
      <c r="E18" s="23" t="s">
        <v>15</v>
      </c>
      <c r="F18" s="24">
        <v>1200</v>
      </c>
      <c r="G18" s="25">
        <v>450</v>
      </c>
      <c r="I18" s="38" t="s">
        <v>133</v>
      </c>
      <c r="J18" s="39" t="b">
        <f>OR(F7&gt;50000,G7&gt;3000)</f>
        <v>1</v>
      </c>
      <c r="L18" s="118"/>
      <c r="M18" s="119"/>
      <c r="N18" s="116"/>
      <c r="O18" s="117"/>
    </row>
    <row r="19" spans="3:15" ht="15" thickBot="1" x14ac:dyDescent="0.35">
      <c r="C19" s="22">
        <v>46035</v>
      </c>
      <c r="D19" s="23" t="s">
        <v>9</v>
      </c>
      <c r="E19" s="23" t="s">
        <v>12</v>
      </c>
      <c r="F19" s="24">
        <v>45000</v>
      </c>
      <c r="G19" s="25">
        <v>6000</v>
      </c>
      <c r="L19" s="120" t="s">
        <v>120</v>
      </c>
      <c r="M19" s="106"/>
      <c r="N19" s="106" t="s">
        <v>121</v>
      </c>
      <c r="O19" s="107"/>
    </row>
    <row r="20" spans="3:15" ht="16.2" thickBot="1" x14ac:dyDescent="0.35">
      <c r="C20" s="22">
        <v>46036</v>
      </c>
      <c r="D20" s="23" t="s">
        <v>10</v>
      </c>
      <c r="E20" s="23" t="s">
        <v>13</v>
      </c>
      <c r="F20" s="24">
        <v>25000</v>
      </c>
      <c r="G20" s="25">
        <v>3500</v>
      </c>
      <c r="I20" s="88" t="s">
        <v>20</v>
      </c>
      <c r="J20" s="89"/>
      <c r="L20" s="114"/>
      <c r="M20" s="115"/>
      <c r="N20" s="108"/>
      <c r="O20" s="109"/>
    </row>
    <row r="21" spans="3:15" x14ac:dyDescent="0.3">
      <c r="C21" s="22">
        <v>46037</v>
      </c>
      <c r="D21" s="23" t="s">
        <v>3</v>
      </c>
      <c r="E21" s="23" t="s">
        <v>14</v>
      </c>
      <c r="F21" s="24">
        <v>35000</v>
      </c>
      <c r="G21" s="25">
        <v>6500</v>
      </c>
      <c r="I21" s="86"/>
      <c r="J21" s="87"/>
      <c r="L21" s="44" t="s">
        <v>140</v>
      </c>
      <c r="M21" s="45">
        <f>AVERAGE(F7:F26)</f>
        <v>17750.400000000001</v>
      </c>
      <c r="N21" s="46" t="s">
        <v>140</v>
      </c>
      <c r="O21" s="47">
        <f>AVERAGE(G7:G26)</f>
        <v>2920</v>
      </c>
    </row>
    <row r="22" spans="3:15" x14ac:dyDescent="0.3">
      <c r="C22" s="22">
        <v>46038</v>
      </c>
      <c r="D22" s="23" t="s">
        <v>4</v>
      </c>
      <c r="E22" s="23" t="s">
        <v>15</v>
      </c>
      <c r="F22" s="24">
        <v>3000</v>
      </c>
      <c r="G22" s="25">
        <v>800</v>
      </c>
      <c r="I22" s="36" t="s">
        <v>134</v>
      </c>
      <c r="J22" s="37" t="str">
        <f>LEFT(E9,3)</f>
        <v>Sou</v>
      </c>
      <c r="L22" s="44" t="s">
        <v>141</v>
      </c>
      <c r="M22" s="45">
        <f>MEDIAN(F7:F26)</f>
        <v>13999.5</v>
      </c>
      <c r="N22" s="46" t="s">
        <v>141</v>
      </c>
      <c r="O22" s="47">
        <f>MEDIAN(G7:G261)</f>
        <v>2745</v>
      </c>
    </row>
    <row r="23" spans="3:15" x14ac:dyDescent="0.3">
      <c r="C23" s="22">
        <v>46039</v>
      </c>
      <c r="D23" s="23" t="s">
        <v>5</v>
      </c>
      <c r="E23" s="23" t="s">
        <v>12</v>
      </c>
      <c r="F23" s="24">
        <v>40000</v>
      </c>
      <c r="G23" s="25">
        <v>6420</v>
      </c>
      <c r="I23" s="36" t="s">
        <v>135</v>
      </c>
      <c r="J23" s="37" t="str">
        <f>RIGHT(E11,2)</f>
        <v>th</v>
      </c>
      <c r="L23" s="44" t="s">
        <v>142</v>
      </c>
      <c r="M23" s="45">
        <f>MODE(F7:F26)</f>
        <v>2000</v>
      </c>
      <c r="N23" s="46" t="s">
        <v>142</v>
      </c>
      <c r="O23" s="47">
        <f>MODE(G7:G26)</f>
        <v>3500</v>
      </c>
    </row>
    <row r="24" spans="3:15" x14ac:dyDescent="0.3">
      <c r="C24" s="22">
        <v>46040</v>
      </c>
      <c r="D24" s="23" t="s">
        <v>6</v>
      </c>
      <c r="E24" s="23" t="s">
        <v>13</v>
      </c>
      <c r="F24" s="24">
        <v>2000</v>
      </c>
      <c r="G24" s="25">
        <v>650</v>
      </c>
      <c r="I24" s="36" t="s">
        <v>136</v>
      </c>
      <c r="J24" s="37" t="str">
        <f>MID(D12,2,3)</f>
        <v>ead</v>
      </c>
      <c r="L24" s="44" t="s">
        <v>143</v>
      </c>
      <c r="M24" s="45">
        <f>STDEV(F7:F26)</f>
        <v>16757.373080779133</v>
      </c>
      <c r="N24" s="46" t="s">
        <v>143</v>
      </c>
      <c r="O24" s="47">
        <f>STDEV(G7:G26)</f>
        <v>2476.9760851319879</v>
      </c>
    </row>
    <row r="25" spans="3:15" ht="15" thickBot="1" x14ac:dyDescent="0.35">
      <c r="C25" s="22">
        <v>46041</v>
      </c>
      <c r="D25" s="23" t="s">
        <v>7</v>
      </c>
      <c r="E25" s="23" t="s">
        <v>14</v>
      </c>
      <c r="F25" s="24">
        <v>18000</v>
      </c>
      <c r="G25" s="25">
        <v>3400</v>
      </c>
      <c r="I25" s="38" t="s">
        <v>137</v>
      </c>
      <c r="J25" s="39" t="str">
        <f>_xlfn.CONCAT(D24,E24)</f>
        <v>WatchEast</v>
      </c>
      <c r="L25" s="110" t="s">
        <v>144</v>
      </c>
      <c r="M25" s="111"/>
      <c r="N25" s="111">
        <f>CORREL(F7:F26,G7:G26)</f>
        <v>0.75132532914158301</v>
      </c>
      <c r="O25" s="112"/>
    </row>
    <row r="26" spans="3:15" ht="15" thickBot="1" x14ac:dyDescent="0.35">
      <c r="C26" s="26">
        <v>46042</v>
      </c>
      <c r="D26" s="27" t="s">
        <v>8</v>
      </c>
      <c r="E26" s="27" t="s">
        <v>12</v>
      </c>
      <c r="F26" s="28">
        <v>1000</v>
      </c>
      <c r="G26" s="29">
        <v>250</v>
      </c>
    </row>
    <row r="27" spans="3:15" ht="16.2" thickBot="1" x14ac:dyDescent="0.35">
      <c r="I27" s="88" t="s">
        <v>163</v>
      </c>
      <c r="J27" s="89"/>
    </row>
    <row r="28" spans="3:15" ht="15.6" x14ac:dyDescent="0.3">
      <c r="I28" s="85"/>
      <c r="J28" s="131"/>
    </row>
    <row r="29" spans="3:15" x14ac:dyDescent="0.3">
      <c r="I29" s="36" t="s">
        <v>166</v>
      </c>
      <c r="J29" s="37" t="s">
        <v>167</v>
      </c>
    </row>
    <row r="30" spans="3:15" ht="15" thickBot="1" x14ac:dyDescent="0.35">
      <c r="I30" s="38" t="s">
        <v>164</v>
      </c>
      <c r="J30" s="39">
        <f>VLOOKUP(J29,D7:G26,3,FALSE)</f>
        <v>55000</v>
      </c>
    </row>
  </sheetData>
  <mergeCells count="26">
    <mergeCell ref="I27:J27"/>
    <mergeCell ref="T3:X3"/>
    <mergeCell ref="Q3:R3"/>
    <mergeCell ref="N19:O19"/>
    <mergeCell ref="N20:O20"/>
    <mergeCell ref="L25:M25"/>
    <mergeCell ref="N25:O25"/>
    <mergeCell ref="L17:O17"/>
    <mergeCell ref="L20:M20"/>
    <mergeCell ref="N18:O18"/>
    <mergeCell ref="I21:J21"/>
    <mergeCell ref="L18:M18"/>
    <mergeCell ref="L19:M19"/>
    <mergeCell ref="I14:J14"/>
    <mergeCell ref="I15:J15"/>
    <mergeCell ref="L13:M13"/>
    <mergeCell ref="L12:M12"/>
    <mergeCell ref="I20:J20"/>
    <mergeCell ref="C3:G3"/>
    <mergeCell ref="I5:J5"/>
    <mergeCell ref="I6:J6"/>
    <mergeCell ref="L5:M5"/>
    <mergeCell ref="L6:M6"/>
    <mergeCell ref="C4:G4"/>
    <mergeCell ref="C6:G6"/>
    <mergeCell ref="I3:O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68E4-7DE6-4EE0-A6B9-A9D733D7CCAE}">
  <dimension ref="B2:R29"/>
  <sheetViews>
    <sheetView topLeftCell="G1" zoomScale="94" zoomScaleNormal="94" workbookViewId="0">
      <selection activeCell="D32" sqref="D32"/>
    </sheetView>
  </sheetViews>
  <sheetFormatPr defaultRowHeight="14.4" x14ac:dyDescent="0.3"/>
  <cols>
    <col min="3" max="3" width="21" bestFit="1" customWidth="1"/>
    <col min="4" max="4" width="19.21875" customWidth="1"/>
    <col min="5" max="5" width="14.88671875" customWidth="1"/>
    <col min="6" max="6" width="17.6640625" customWidth="1"/>
    <col min="7" max="7" width="6.44140625" customWidth="1"/>
    <col min="8" max="8" width="16.77734375" bestFit="1" customWidth="1"/>
    <col min="9" max="9" width="17.77734375" customWidth="1"/>
    <col min="11" max="11" width="20.5546875" bestFit="1" customWidth="1"/>
    <col min="12" max="12" width="19.5546875" customWidth="1"/>
    <col min="13" max="13" width="6.21875" customWidth="1"/>
    <col min="14" max="14" width="14.5546875" customWidth="1"/>
    <col min="15" max="15" width="19.88671875" customWidth="1"/>
    <col min="16" max="16" width="14.21875" customWidth="1"/>
    <col min="17" max="17" width="17.21875" customWidth="1"/>
    <col min="18" max="18" width="18.21875" customWidth="1"/>
  </cols>
  <sheetData>
    <row r="2" spans="2:18" ht="15" thickBot="1" x14ac:dyDescent="0.35"/>
    <row r="3" spans="2:18" ht="24" thickBot="1" x14ac:dyDescent="0.5">
      <c r="B3" s="121" t="s">
        <v>27</v>
      </c>
      <c r="C3" s="122"/>
      <c r="D3" s="122"/>
      <c r="E3" s="122"/>
      <c r="F3" s="123"/>
      <c r="G3" s="32"/>
      <c r="H3" s="103" t="s">
        <v>18</v>
      </c>
      <c r="I3" s="104"/>
      <c r="J3" s="104"/>
      <c r="K3" s="104"/>
      <c r="L3" s="105"/>
      <c r="N3" s="103" t="s">
        <v>146</v>
      </c>
      <c r="O3" s="104"/>
      <c r="P3" s="104"/>
      <c r="Q3" s="104"/>
      <c r="R3" s="105"/>
    </row>
    <row r="4" spans="2:18" ht="15" thickBot="1" x14ac:dyDescent="0.35">
      <c r="B4" s="118"/>
      <c r="C4" s="116"/>
      <c r="D4" s="116"/>
      <c r="E4" s="116"/>
      <c r="F4" s="117"/>
    </row>
    <row r="5" spans="2:18" ht="16.2" thickBot="1" x14ac:dyDescent="0.35">
      <c r="B5" s="30" t="s">
        <v>1</v>
      </c>
      <c r="C5" s="12" t="s">
        <v>28</v>
      </c>
      <c r="D5" s="12" t="s">
        <v>29</v>
      </c>
      <c r="E5" s="12" t="s">
        <v>30</v>
      </c>
      <c r="F5" s="31" t="s">
        <v>31</v>
      </c>
      <c r="G5" s="33"/>
      <c r="H5" s="93" t="s">
        <v>19</v>
      </c>
      <c r="I5" s="94"/>
      <c r="K5" s="88" t="s">
        <v>22</v>
      </c>
      <c r="L5" s="89"/>
    </row>
    <row r="6" spans="2:18" x14ac:dyDescent="0.3">
      <c r="B6" s="4"/>
      <c r="C6" s="2"/>
      <c r="D6" s="2"/>
      <c r="E6" s="2"/>
      <c r="F6" s="3"/>
      <c r="H6" s="95"/>
      <c r="I6" s="96"/>
      <c r="K6" s="95"/>
      <c r="L6" s="96"/>
    </row>
    <row r="7" spans="2:18" x14ac:dyDescent="0.3">
      <c r="B7" s="49">
        <v>46023</v>
      </c>
      <c r="C7" s="50" t="s">
        <v>32</v>
      </c>
      <c r="D7" s="51">
        <v>450</v>
      </c>
      <c r="E7" s="51">
        <v>1200</v>
      </c>
      <c r="F7" s="52">
        <v>4.2</v>
      </c>
      <c r="H7" s="36" t="s">
        <v>126</v>
      </c>
      <c r="I7" s="57">
        <f>SUM(E7:E26)</f>
        <v>28600</v>
      </c>
      <c r="K7" s="36" t="s">
        <v>148</v>
      </c>
      <c r="L7" s="59">
        <f ca="1">TODAY()</f>
        <v>46073</v>
      </c>
    </row>
    <row r="8" spans="2:18" x14ac:dyDescent="0.3">
      <c r="B8" s="49">
        <v>46024</v>
      </c>
      <c r="C8" s="50" t="s">
        <v>33</v>
      </c>
      <c r="D8" s="51">
        <v>120</v>
      </c>
      <c r="E8" s="51">
        <v>2500</v>
      </c>
      <c r="F8" s="52">
        <v>3.5</v>
      </c>
      <c r="H8" s="36" t="s">
        <v>127</v>
      </c>
      <c r="I8" s="57">
        <f>AVERAGE(E7:E26)</f>
        <v>1430</v>
      </c>
      <c r="K8" s="36" t="s">
        <v>149</v>
      </c>
      <c r="L8" s="60">
        <f ca="1">NOW()</f>
        <v>46073.626656597226</v>
      </c>
    </row>
    <row r="9" spans="2:18" ht="15" thickBot="1" x14ac:dyDescent="0.35">
      <c r="B9" s="49">
        <v>46025</v>
      </c>
      <c r="C9" s="50" t="s">
        <v>34</v>
      </c>
      <c r="D9" s="51">
        <v>85</v>
      </c>
      <c r="E9" s="51">
        <v>150</v>
      </c>
      <c r="F9" s="52">
        <v>8.5</v>
      </c>
      <c r="H9" s="36" t="s">
        <v>128</v>
      </c>
      <c r="I9" s="57">
        <f>MIN(E7:E26)</f>
        <v>150</v>
      </c>
      <c r="K9" s="38" t="s">
        <v>154</v>
      </c>
      <c r="L9" s="58">
        <f>DATEDIF(B7,B26,"D")</f>
        <v>19</v>
      </c>
    </row>
    <row r="10" spans="2:18" x14ac:dyDescent="0.3">
      <c r="B10" s="49">
        <v>46026</v>
      </c>
      <c r="C10" s="50" t="s">
        <v>35</v>
      </c>
      <c r="D10" s="51">
        <v>310</v>
      </c>
      <c r="E10" s="51">
        <v>900</v>
      </c>
      <c r="F10" s="52">
        <v>3.8</v>
      </c>
      <c r="H10" s="36" t="s">
        <v>129</v>
      </c>
      <c r="I10" s="57">
        <f>MAX(E7:E26)</f>
        <v>4500</v>
      </c>
    </row>
    <row r="11" spans="2:18" ht="15" thickBot="1" x14ac:dyDescent="0.35">
      <c r="B11" s="49">
        <v>46027</v>
      </c>
      <c r="C11" s="50" t="s">
        <v>36</v>
      </c>
      <c r="D11" s="51">
        <v>55</v>
      </c>
      <c r="E11" s="51">
        <v>1800</v>
      </c>
      <c r="F11" s="52">
        <v>1.5</v>
      </c>
      <c r="H11" s="38" t="s">
        <v>130</v>
      </c>
      <c r="I11" s="58">
        <f>COUNT(E7:E26)</f>
        <v>20</v>
      </c>
    </row>
    <row r="12" spans="2:18" ht="16.2" thickBot="1" x14ac:dyDescent="0.35">
      <c r="B12" s="49">
        <v>46028</v>
      </c>
      <c r="C12" s="50" t="s">
        <v>37</v>
      </c>
      <c r="D12" s="51">
        <v>1200</v>
      </c>
      <c r="E12" s="51">
        <v>3000</v>
      </c>
      <c r="F12" s="52">
        <v>0.8</v>
      </c>
      <c r="K12" s="88" t="s">
        <v>23</v>
      </c>
      <c r="L12" s="89"/>
    </row>
    <row r="13" spans="2:18" ht="16.2" thickBot="1" x14ac:dyDescent="0.35">
      <c r="B13" s="49">
        <v>46029</v>
      </c>
      <c r="C13" s="50" t="s">
        <v>38</v>
      </c>
      <c r="D13" s="51">
        <v>240</v>
      </c>
      <c r="E13" s="51">
        <v>600</v>
      </c>
      <c r="F13" s="52">
        <v>5.4</v>
      </c>
      <c r="H13" s="88" t="s">
        <v>21</v>
      </c>
      <c r="I13" s="89"/>
      <c r="K13" s="86"/>
      <c r="L13" s="87"/>
    </row>
    <row r="14" spans="2:18" x14ac:dyDescent="0.3">
      <c r="B14" s="49">
        <v>46030</v>
      </c>
      <c r="C14" s="50" t="s">
        <v>39</v>
      </c>
      <c r="D14" s="51">
        <v>190</v>
      </c>
      <c r="E14" s="51">
        <v>2200</v>
      </c>
      <c r="F14" s="52">
        <v>2.9</v>
      </c>
      <c r="H14" s="16"/>
      <c r="I14" s="17"/>
      <c r="K14" s="36" t="s">
        <v>24</v>
      </c>
      <c r="L14" s="61">
        <f>PMT(0.05/12,60,E7)</f>
        <v>-22.645480372813122</v>
      </c>
    </row>
    <row r="15" spans="2:18" ht="15" thickBot="1" x14ac:dyDescent="0.35">
      <c r="B15" s="49">
        <v>46031</v>
      </c>
      <c r="C15" s="50" t="s">
        <v>40</v>
      </c>
      <c r="D15" s="51">
        <v>65</v>
      </c>
      <c r="E15" s="51">
        <v>300</v>
      </c>
      <c r="F15" s="52">
        <v>12</v>
      </c>
      <c r="H15" s="36" t="s">
        <v>131</v>
      </c>
      <c r="I15" s="57" t="str">
        <f>IF(E7&gt;2000,"GOOD","AVERAGE")</f>
        <v>AVERAGE</v>
      </c>
      <c r="K15" s="38" t="s">
        <v>25</v>
      </c>
      <c r="L15" s="62">
        <f>NPV(0.1,E7:E26)</f>
        <v>12445.599964473349</v>
      </c>
    </row>
    <row r="16" spans="2:18" ht="15" thickBot="1" x14ac:dyDescent="0.35">
      <c r="B16" s="49">
        <v>46032</v>
      </c>
      <c r="C16" s="50" t="s">
        <v>41</v>
      </c>
      <c r="D16" s="51">
        <v>580</v>
      </c>
      <c r="E16" s="51">
        <v>1100</v>
      </c>
      <c r="F16" s="52">
        <v>4.9000000000000004</v>
      </c>
      <c r="H16" s="36" t="s">
        <v>132</v>
      </c>
      <c r="I16" s="57" t="b">
        <f>AND(E7&gt;3000)</f>
        <v>0</v>
      </c>
    </row>
    <row r="17" spans="2:12" ht="16.2" thickBot="1" x14ac:dyDescent="0.35">
      <c r="B17" s="49">
        <v>46033</v>
      </c>
      <c r="C17" s="50" t="s">
        <v>42</v>
      </c>
      <c r="D17" s="51">
        <v>95</v>
      </c>
      <c r="E17" s="51">
        <v>4500</v>
      </c>
      <c r="F17" s="52">
        <v>6.2</v>
      </c>
      <c r="H17" s="38" t="s">
        <v>133</v>
      </c>
      <c r="I17" s="58" t="b">
        <f>OR(E7&gt;1000)</f>
        <v>1</v>
      </c>
      <c r="K17" s="124" t="s">
        <v>26</v>
      </c>
      <c r="L17" s="125"/>
    </row>
    <row r="18" spans="2:12" ht="15" thickBot="1" x14ac:dyDescent="0.35">
      <c r="B18" s="49">
        <v>46034</v>
      </c>
      <c r="C18" s="50" t="s">
        <v>43</v>
      </c>
      <c r="D18" s="51">
        <v>410</v>
      </c>
      <c r="E18" s="51">
        <v>1500</v>
      </c>
      <c r="F18" s="52">
        <v>1.1000000000000001</v>
      </c>
      <c r="K18" s="97"/>
      <c r="L18" s="99"/>
    </row>
    <row r="19" spans="2:12" ht="16.2" thickBot="1" x14ac:dyDescent="0.35">
      <c r="B19" s="49">
        <v>46035</v>
      </c>
      <c r="C19" s="50" t="s">
        <v>44</v>
      </c>
      <c r="D19" s="51">
        <v>130</v>
      </c>
      <c r="E19" s="51">
        <v>500</v>
      </c>
      <c r="F19" s="52">
        <v>2.2999999999999998</v>
      </c>
      <c r="H19" s="88" t="s">
        <v>20</v>
      </c>
      <c r="I19" s="89"/>
      <c r="K19" s="36" t="s">
        <v>140</v>
      </c>
      <c r="L19" s="57">
        <f>AVERAGE(E7:E26)</f>
        <v>1430</v>
      </c>
    </row>
    <row r="20" spans="2:12" x14ac:dyDescent="0.3">
      <c r="B20" s="49">
        <v>46036</v>
      </c>
      <c r="C20" s="50" t="s">
        <v>45</v>
      </c>
      <c r="D20" s="51">
        <v>215</v>
      </c>
      <c r="E20" s="51">
        <v>800</v>
      </c>
      <c r="F20" s="52">
        <v>3.5</v>
      </c>
      <c r="H20" s="118"/>
      <c r="I20" s="117"/>
      <c r="K20" s="36" t="s">
        <v>155</v>
      </c>
      <c r="L20" s="57">
        <f>MEDIAN(E7:E26)</f>
        <v>1200</v>
      </c>
    </row>
    <row r="21" spans="2:12" x14ac:dyDescent="0.3">
      <c r="B21" s="49">
        <v>46037</v>
      </c>
      <c r="C21" s="50" t="s">
        <v>46</v>
      </c>
      <c r="D21" s="51">
        <v>45</v>
      </c>
      <c r="E21" s="51">
        <v>1400</v>
      </c>
      <c r="F21" s="52">
        <v>4</v>
      </c>
      <c r="H21" s="36" t="s">
        <v>134</v>
      </c>
      <c r="I21" s="57" t="str">
        <f>LEFT(C13,4)</f>
        <v>Webi</v>
      </c>
      <c r="K21" s="36" t="s">
        <v>142</v>
      </c>
      <c r="L21" s="57">
        <f>MODE(E7:E26)</f>
        <v>1200</v>
      </c>
    </row>
    <row r="22" spans="2:12" x14ac:dyDescent="0.3">
      <c r="B22" s="49">
        <v>46038</v>
      </c>
      <c r="C22" s="50" t="s">
        <v>47</v>
      </c>
      <c r="D22" s="51">
        <v>320</v>
      </c>
      <c r="E22" s="51">
        <v>750</v>
      </c>
      <c r="F22" s="52">
        <v>7.2</v>
      </c>
      <c r="H22" s="36" t="s">
        <v>135</v>
      </c>
      <c r="I22" s="57" t="str">
        <f>RIGHT(C10,5)</f>
        <v>cer A</v>
      </c>
      <c r="K22" s="36" t="s">
        <v>143</v>
      </c>
      <c r="L22" s="57">
        <f>STDEV(E7:E26)</f>
        <v>1070.5876399140998</v>
      </c>
    </row>
    <row r="23" spans="2:12" ht="15" thickBot="1" x14ac:dyDescent="0.35">
      <c r="B23" s="49">
        <v>46039</v>
      </c>
      <c r="C23" s="50" t="s">
        <v>48</v>
      </c>
      <c r="D23" s="51">
        <v>110</v>
      </c>
      <c r="E23" s="51">
        <v>1200</v>
      </c>
      <c r="F23" s="52">
        <v>3.1</v>
      </c>
      <c r="H23" s="36" t="s">
        <v>136</v>
      </c>
      <c r="I23" s="57" t="str">
        <f>MID(C15,3,4)</f>
        <v>ferr</v>
      </c>
      <c r="K23" s="38" t="s">
        <v>144</v>
      </c>
      <c r="L23" s="58">
        <f>CORREL(D7:D26,E7:E26)</f>
        <v>0.2990114409146134</v>
      </c>
    </row>
    <row r="24" spans="2:12" ht="15" thickBot="1" x14ac:dyDescent="0.35">
      <c r="B24" s="49">
        <v>46040</v>
      </c>
      <c r="C24" s="50" t="s">
        <v>49</v>
      </c>
      <c r="D24" s="51">
        <v>890</v>
      </c>
      <c r="E24" s="51">
        <v>2100</v>
      </c>
      <c r="F24" s="52">
        <v>5.6</v>
      </c>
      <c r="H24" s="38" t="s">
        <v>137</v>
      </c>
      <c r="I24" s="58" t="str">
        <f>_xlfn.CONCAT(C7, D7)</f>
        <v>Summer Sale FB450</v>
      </c>
    </row>
    <row r="25" spans="2:12" ht="15" thickBot="1" x14ac:dyDescent="0.35">
      <c r="B25" s="49">
        <v>46041</v>
      </c>
      <c r="C25" s="50" t="s">
        <v>50</v>
      </c>
      <c r="D25" s="51">
        <v>670</v>
      </c>
      <c r="E25" s="51">
        <v>1900</v>
      </c>
      <c r="F25" s="52">
        <v>6</v>
      </c>
    </row>
    <row r="26" spans="2:12" ht="16.2" thickBot="1" x14ac:dyDescent="0.35">
      <c r="B26" s="53">
        <v>46042</v>
      </c>
      <c r="C26" s="54" t="s">
        <v>51</v>
      </c>
      <c r="D26" s="55">
        <v>155</v>
      </c>
      <c r="E26" s="55">
        <v>200</v>
      </c>
      <c r="F26" s="56">
        <v>10.5</v>
      </c>
      <c r="H26" s="88" t="s">
        <v>163</v>
      </c>
      <c r="I26" s="89"/>
    </row>
    <row r="27" spans="2:12" ht="15.6" x14ac:dyDescent="0.3">
      <c r="B27" s="143"/>
      <c r="C27" s="144"/>
      <c r="D27" s="133"/>
      <c r="E27" s="133"/>
      <c r="F27" s="133"/>
      <c r="H27" s="132"/>
      <c r="I27" s="131"/>
    </row>
    <row r="28" spans="2:12" x14ac:dyDescent="0.3">
      <c r="H28" s="36" t="s">
        <v>168</v>
      </c>
      <c r="I28" s="37" t="s">
        <v>169</v>
      </c>
    </row>
    <row r="29" spans="2:12" ht="15" thickBot="1" x14ac:dyDescent="0.35">
      <c r="H29" s="38" t="s">
        <v>164</v>
      </c>
      <c r="I29" s="39">
        <f>VLOOKUP(I28,C7:F26,3,FALSE)</f>
        <v>600</v>
      </c>
    </row>
  </sheetData>
  <mergeCells count="16">
    <mergeCell ref="N3:R3"/>
    <mergeCell ref="H19:I19"/>
    <mergeCell ref="H20:I20"/>
    <mergeCell ref="K5:L5"/>
    <mergeCell ref="K6:L6"/>
    <mergeCell ref="K12:L12"/>
    <mergeCell ref="K13:L13"/>
    <mergeCell ref="K17:L17"/>
    <mergeCell ref="K18:L18"/>
    <mergeCell ref="H5:I5"/>
    <mergeCell ref="H6:I6"/>
    <mergeCell ref="H3:L3"/>
    <mergeCell ref="H13:I13"/>
    <mergeCell ref="B3:F3"/>
    <mergeCell ref="B4:F4"/>
    <mergeCell ref="H26:I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395E-10DF-485D-8FB4-8A730AD3CDF7}">
  <dimension ref="B2:T29"/>
  <sheetViews>
    <sheetView topLeftCell="K1" workbookViewId="0">
      <selection activeCell="A11" sqref="A11"/>
    </sheetView>
  </sheetViews>
  <sheetFormatPr defaultRowHeight="14.4" x14ac:dyDescent="0.3"/>
  <cols>
    <col min="2" max="2" width="15.109375" bestFit="1" customWidth="1"/>
    <col min="3" max="3" width="11.44140625" customWidth="1"/>
    <col min="4" max="4" width="11.21875" customWidth="1"/>
    <col min="5" max="5" width="11.109375" customWidth="1"/>
    <col min="6" max="6" width="16.5546875" bestFit="1" customWidth="1"/>
    <col min="7" max="7" width="4.88671875" customWidth="1"/>
    <col min="8" max="8" width="16.77734375" bestFit="1" customWidth="1"/>
    <col min="9" max="9" width="11.6640625" customWidth="1"/>
    <col min="10" max="10" width="6.77734375" customWidth="1"/>
    <col min="11" max="11" width="19.88671875" bestFit="1" customWidth="1"/>
    <col min="12" max="12" width="15.6640625" bestFit="1" customWidth="1"/>
    <col min="13" max="13" width="5" customWidth="1"/>
    <col min="14" max="14" width="29.5546875" customWidth="1"/>
    <col min="15" max="15" width="4" customWidth="1"/>
    <col min="16" max="16" width="17.33203125" customWidth="1"/>
    <col min="17" max="17" width="16.33203125" customWidth="1"/>
    <col min="18" max="18" width="17" customWidth="1"/>
    <col min="19" max="19" width="14.88671875" customWidth="1"/>
    <col min="20" max="20" width="19.33203125" customWidth="1"/>
  </cols>
  <sheetData>
    <row r="2" spans="2:20" ht="15" thickBot="1" x14ac:dyDescent="0.35">
      <c r="H2" s="5"/>
    </row>
    <row r="3" spans="2:20" ht="24" thickBot="1" x14ac:dyDescent="0.5">
      <c r="B3" s="126" t="s">
        <v>52</v>
      </c>
      <c r="C3" s="127"/>
      <c r="D3" s="127"/>
      <c r="E3" s="127"/>
      <c r="F3" s="128"/>
      <c r="H3" s="103" t="s">
        <v>18</v>
      </c>
      <c r="I3" s="104"/>
      <c r="J3" s="104"/>
      <c r="K3" s="104"/>
      <c r="L3" s="105"/>
      <c r="N3" s="35" t="s">
        <v>138</v>
      </c>
      <c r="O3" s="34"/>
      <c r="P3" s="103" t="s">
        <v>147</v>
      </c>
      <c r="Q3" s="104"/>
      <c r="R3" s="104"/>
      <c r="S3" s="104"/>
      <c r="T3" s="105"/>
    </row>
    <row r="4" spans="2:20" ht="15" thickBot="1" x14ac:dyDescent="0.35">
      <c r="B4" s="97"/>
      <c r="C4" s="98"/>
      <c r="D4" s="98"/>
      <c r="E4" s="98"/>
      <c r="F4" s="99"/>
    </row>
    <row r="5" spans="2:20" ht="16.2" thickBot="1" x14ac:dyDescent="0.35">
      <c r="B5" s="13" t="s">
        <v>1</v>
      </c>
      <c r="C5" s="14" t="s">
        <v>53</v>
      </c>
      <c r="D5" s="14" t="s">
        <v>54</v>
      </c>
      <c r="E5" s="14" t="s">
        <v>17</v>
      </c>
      <c r="F5" s="15" t="s">
        <v>55</v>
      </c>
      <c r="H5" s="93" t="s">
        <v>19</v>
      </c>
      <c r="I5" s="94"/>
      <c r="K5" s="88" t="s">
        <v>22</v>
      </c>
      <c r="L5" s="89"/>
      <c r="N5" s="66" t="s">
        <v>145</v>
      </c>
    </row>
    <row r="6" spans="2:20" ht="15" thickBot="1" x14ac:dyDescent="0.35">
      <c r="B6" s="4"/>
      <c r="C6" s="2"/>
      <c r="D6" s="2"/>
      <c r="E6" s="2"/>
      <c r="F6" s="3"/>
      <c r="H6" s="95"/>
      <c r="I6" s="96"/>
      <c r="K6" s="95"/>
      <c r="L6" s="96"/>
      <c r="N6" s="65">
        <v>806000</v>
      </c>
    </row>
    <row r="7" spans="2:20" x14ac:dyDescent="0.3">
      <c r="B7" s="67">
        <v>36923</v>
      </c>
      <c r="C7" s="51">
        <v>45000</v>
      </c>
      <c r="D7" s="51">
        <v>32000</v>
      </c>
      <c r="E7" s="51">
        <v>13000</v>
      </c>
      <c r="F7" s="68">
        <v>0.05</v>
      </c>
      <c r="H7" s="36" t="s">
        <v>126</v>
      </c>
      <c r="I7" s="57">
        <f>SUM(D7:D26)</f>
        <v>806000</v>
      </c>
      <c r="K7" s="63" t="s">
        <v>148</v>
      </c>
      <c r="L7" s="40">
        <f ca="1">TODAY()</f>
        <v>46073</v>
      </c>
    </row>
    <row r="8" spans="2:20" x14ac:dyDescent="0.3">
      <c r="B8" s="67">
        <v>36924</v>
      </c>
      <c r="C8" s="51">
        <v>52000</v>
      </c>
      <c r="D8" s="51">
        <v>35000</v>
      </c>
      <c r="E8" s="51">
        <v>17000</v>
      </c>
      <c r="F8" s="68">
        <v>0.02</v>
      </c>
      <c r="H8" s="36" t="s">
        <v>127</v>
      </c>
      <c r="I8" s="57">
        <f>AVERAGE(D7:D26)</f>
        <v>40300</v>
      </c>
      <c r="K8" s="63" t="s">
        <v>149</v>
      </c>
      <c r="L8" s="41">
        <f ca="1">NOW()</f>
        <v>46073.626656597226</v>
      </c>
    </row>
    <row r="9" spans="2:20" ht="15" thickBot="1" x14ac:dyDescent="0.35">
      <c r="B9" s="67">
        <v>36925</v>
      </c>
      <c r="C9" s="51">
        <v>48000</v>
      </c>
      <c r="D9" s="51">
        <v>49000</v>
      </c>
      <c r="E9" s="51">
        <v>-1000</v>
      </c>
      <c r="F9" s="68">
        <v>-0.08</v>
      </c>
      <c r="H9" s="36" t="s">
        <v>128</v>
      </c>
      <c r="I9" s="57">
        <f>MIN(D7:D26)</f>
        <v>31000</v>
      </c>
      <c r="K9" s="64" t="s">
        <v>154</v>
      </c>
      <c r="L9" s="39"/>
    </row>
    <row r="10" spans="2:20" x14ac:dyDescent="0.3">
      <c r="B10" s="67">
        <v>36926</v>
      </c>
      <c r="C10" s="51">
        <v>61000</v>
      </c>
      <c r="D10" s="51">
        <v>42000</v>
      </c>
      <c r="E10" s="51">
        <v>19000</v>
      </c>
      <c r="F10" s="68">
        <v>0.12</v>
      </c>
      <c r="H10" s="36" t="s">
        <v>139</v>
      </c>
      <c r="I10" s="57">
        <f>MAX(D7:D26)</f>
        <v>51000</v>
      </c>
    </row>
    <row r="11" spans="2:20" ht="15" thickBot="1" x14ac:dyDescent="0.35">
      <c r="B11" s="67">
        <v>36927</v>
      </c>
      <c r="C11" s="51">
        <v>55000</v>
      </c>
      <c r="D11" s="51">
        <v>38000</v>
      </c>
      <c r="E11" s="51">
        <v>17000</v>
      </c>
      <c r="F11" s="68">
        <v>0.01</v>
      </c>
      <c r="H11" s="38" t="s">
        <v>130</v>
      </c>
      <c r="I11" s="58">
        <f>COUNT(D7:D26)</f>
        <v>20</v>
      </c>
    </row>
    <row r="12" spans="2:20" ht="13.8" customHeight="1" thickBot="1" x14ac:dyDescent="0.5">
      <c r="B12" s="69">
        <v>36928</v>
      </c>
      <c r="C12" s="51">
        <v>42000</v>
      </c>
      <c r="D12" s="51">
        <v>40000</v>
      </c>
      <c r="E12" s="51">
        <v>2000</v>
      </c>
      <c r="F12" s="68">
        <v>-0.04</v>
      </c>
      <c r="K12" s="93" t="s">
        <v>23</v>
      </c>
      <c r="L12" s="94"/>
      <c r="N12" s="32"/>
      <c r="O12" s="32"/>
      <c r="P12" s="32"/>
      <c r="Q12" s="32"/>
      <c r="R12" s="32"/>
    </row>
    <row r="13" spans="2:20" ht="16.2" thickBot="1" x14ac:dyDescent="0.35">
      <c r="B13" s="67">
        <v>36929</v>
      </c>
      <c r="C13" s="51">
        <v>59000</v>
      </c>
      <c r="D13" s="51">
        <v>36000</v>
      </c>
      <c r="E13" s="51">
        <v>23000</v>
      </c>
      <c r="F13" s="68">
        <v>0.15</v>
      </c>
      <c r="H13" s="88" t="s">
        <v>21</v>
      </c>
      <c r="I13" s="89"/>
      <c r="K13" s="86"/>
      <c r="L13" s="87"/>
    </row>
    <row r="14" spans="2:20" x14ac:dyDescent="0.3">
      <c r="B14" s="67">
        <v>36930</v>
      </c>
      <c r="C14" s="51">
        <v>64000</v>
      </c>
      <c r="D14" s="51">
        <v>45000</v>
      </c>
      <c r="E14" s="51">
        <v>19000</v>
      </c>
      <c r="F14" s="68">
        <v>0.06</v>
      </c>
      <c r="H14" s="118"/>
      <c r="I14" s="117"/>
      <c r="K14" s="36" t="s">
        <v>24</v>
      </c>
      <c r="L14" s="61">
        <f>PMT(0.05/12,60,C7)</f>
        <v>-849.20551398049213</v>
      </c>
    </row>
    <row r="15" spans="2:20" ht="15" thickBot="1" x14ac:dyDescent="0.35">
      <c r="B15" s="67">
        <v>36931</v>
      </c>
      <c r="C15" s="51">
        <v>47000</v>
      </c>
      <c r="D15" s="51">
        <v>31000</v>
      </c>
      <c r="E15" s="51">
        <v>16000</v>
      </c>
      <c r="F15" s="68">
        <v>0.03</v>
      </c>
      <c r="H15" s="36" t="s">
        <v>131</v>
      </c>
      <c r="I15" s="57" t="str">
        <f>IF(D7&gt;45000,"GOOD","AVERAGE")</f>
        <v>AVERAGE</v>
      </c>
      <c r="K15" s="38" t="s">
        <v>25</v>
      </c>
      <c r="L15" s="62">
        <f>NPV(0.1,C7:C26)</f>
        <v>455695.99824828852</v>
      </c>
    </row>
    <row r="16" spans="2:20" ht="15" thickBot="1" x14ac:dyDescent="0.35">
      <c r="B16" s="67">
        <v>36932</v>
      </c>
      <c r="C16" s="51">
        <v>50000</v>
      </c>
      <c r="D16" s="51">
        <v>48000</v>
      </c>
      <c r="E16" s="51">
        <v>2000</v>
      </c>
      <c r="F16" s="68">
        <v>-0.1</v>
      </c>
      <c r="H16" s="36" t="s">
        <v>132</v>
      </c>
      <c r="I16" s="57" t="b">
        <f>AND(D7&gt;50000)</f>
        <v>0</v>
      </c>
    </row>
    <row r="17" spans="2:12" ht="16.2" thickBot="1" x14ac:dyDescent="0.35">
      <c r="B17" s="67">
        <v>36933</v>
      </c>
      <c r="C17" s="51">
        <v>72000</v>
      </c>
      <c r="D17" s="51">
        <v>51000</v>
      </c>
      <c r="E17" s="51">
        <v>21000</v>
      </c>
      <c r="F17" s="68">
        <v>0.18</v>
      </c>
      <c r="H17" s="38" t="s">
        <v>133</v>
      </c>
      <c r="I17" s="58" t="b">
        <f>OR(D7&lt;60000)</f>
        <v>1</v>
      </c>
      <c r="K17" s="124" t="s">
        <v>26</v>
      </c>
      <c r="L17" s="125"/>
    </row>
    <row r="18" spans="2:12" ht="15" thickBot="1" x14ac:dyDescent="0.35">
      <c r="B18" s="67">
        <v>36934</v>
      </c>
      <c r="C18" s="51">
        <v>53000</v>
      </c>
      <c r="D18" s="51">
        <v>39000</v>
      </c>
      <c r="E18" s="51">
        <v>14000</v>
      </c>
      <c r="F18" s="68">
        <v>-0.02</v>
      </c>
      <c r="K18" s="97"/>
      <c r="L18" s="99"/>
    </row>
    <row r="19" spans="2:12" ht="16.2" thickBot="1" x14ac:dyDescent="0.35">
      <c r="B19" s="67">
        <v>36935</v>
      </c>
      <c r="C19" s="51">
        <v>49000</v>
      </c>
      <c r="D19" s="51">
        <v>34000</v>
      </c>
      <c r="E19" s="51">
        <v>15000</v>
      </c>
      <c r="F19" s="68">
        <v>0.04</v>
      </c>
      <c r="H19" s="88" t="s">
        <v>20</v>
      </c>
      <c r="I19" s="89"/>
      <c r="K19" s="36" t="s">
        <v>140</v>
      </c>
      <c r="L19" s="57">
        <f>AVERAGE(D7:D26)</f>
        <v>40300</v>
      </c>
    </row>
    <row r="20" spans="2:12" x14ac:dyDescent="0.3">
      <c r="B20" s="67">
        <v>36936</v>
      </c>
      <c r="C20" s="51">
        <v>58000</v>
      </c>
      <c r="D20" s="51">
        <v>42000</v>
      </c>
      <c r="E20" s="51">
        <v>16000</v>
      </c>
      <c r="F20" s="68">
        <v>0</v>
      </c>
      <c r="H20" s="118"/>
      <c r="I20" s="117"/>
      <c r="K20" s="36" t="s">
        <v>141</v>
      </c>
      <c r="L20" s="57">
        <f>MEDIAN(D7:D26)</f>
        <v>39500</v>
      </c>
    </row>
    <row r="21" spans="2:12" x14ac:dyDescent="0.3">
      <c r="B21" s="67">
        <v>36937</v>
      </c>
      <c r="C21" s="51">
        <v>65000</v>
      </c>
      <c r="D21" s="51">
        <v>46000</v>
      </c>
      <c r="E21" s="51">
        <v>19000</v>
      </c>
      <c r="F21" s="68">
        <v>7.0000000000000007E-2</v>
      </c>
      <c r="H21" s="36" t="s">
        <v>134</v>
      </c>
      <c r="I21" s="57" t="str">
        <f>LEFT(C11,2)</f>
        <v>55</v>
      </c>
      <c r="K21" s="36" t="s">
        <v>142</v>
      </c>
      <c r="L21" s="57">
        <f>MODE(D7:D261)</f>
        <v>35000</v>
      </c>
    </row>
    <row r="22" spans="2:12" x14ac:dyDescent="0.3">
      <c r="B22" s="67">
        <v>36938</v>
      </c>
      <c r="C22" s="51">
        <v>44000</v>
      </c>
      <c r="D22" s="51">
        <v>33000</v>
      </c>
      <c r="E22" s="51">
        <v>11000</v>
      </c>
      <c r="F22" s="68">
        <v>-0.03</v>
      </c>
      <c r="H22" s="36" t="s">
        <v>135</v>
      </c>
      <c r="I22" s="57" t="str">
        <f>RIGHT(C12,4)</f>
        <v>2000</v>
      </c>
      <c r="K22" s="36" t="s">
        <v>143</v>
      </c>
      <c r="L22" s="57">
        <f>STDEV(D7:D26)</f>
        <v>6292.0166627410108</v>
      </c>
    </row>
    <row r="23" spans="2:12" ht="15" thickBot="1" x14ac:dyDescent="0.35">
      <c r="B23" s="67">
        <v>36939</v>
      </c>
      <c r="C23" s="51">
        <v>51000</v>
      </c>
      <c r="D23" s="51">
        <v>37000</v>
      </c>
      <c r="E23" s="51">
        <v>14000</v>
      </c>
      <c r="F23" s="68">
        <v>0.02</v>
      </c>
      <c r="H23" s="36" t="s">
        <v>136</v>
      </c>
      <c r="I23" s="57" t="str">
        <f>MID(D8,1,3)</f>
        <v>350</v>
      </c>
      <c r="K23" s="38" t="s">
        <v>144</v>
      </c>
      <c r="L23" s="58">
        <f>CORREL(C7:C26,D7:D26)</f>
        <v>0.63851905011503429</v>
      </c>
    </row>
    <row r="24" spans="2:12" ht="15" thickBot="1" x14ac:dyDescent="0.35">
      <c r="B24" s="67">
        <v>36940</v>
      </c>
      <c r="C24" s="51">
        <v>68000</v>
      </c>
      <c r="D24" s="51">
        <v>50000</v>
      </c>
      <c r="E24" s="51">
        <v>18000</v>
      </c>
      <c r="F24" s="68">
        <v>0.09</v>
      </c>
      <c r="H24" s="38" t="s">
        <v>137</v>
      </c>
      <c r="I24" s="58" t="str">
        <f>_xlfn.CONCAT(B8,C8)</f>
        <v>3692452000</v>
      </c>
    </row>
    <row r="25" spans="2:12" x14ac:dyDescent="0.3">
      <c r="B25" s="67">
        <v>36941</v>
      </c>
      <c r="C25" s="51">
        <v>60000</v>
      </c>
      <c r="D25" s="51">
        <v>43000</v>
      </c>
      <c r="E25" s="51">
        <v>17000</v>
      </c>
      <c r="F25" s="68">
        <v>0.05</v>
      </c>
    </row>
    <row r="26" spans="2:12" ht="16.2" thickBot="1" x14ac:dyDescent="0.35">
      <c r="B26" s="142">
        <v>36942</v>
      </c>
      <c r="C26" s="55">
        <v>54000</v>
      </c>
      <c r="D26" s="55">
        <v>35000</v>
      </c>
      <c r="E26" s="55">
        <v>19000</v>
      </c>
      <c r="F26" s="70">
        <v>0.11</v>
      </c>
      <c r="H26" s="137"/>
      <c r="I26" s="137"/>
    </row>
    <row r="27" spans="2:12" x14ac:dyDescent="0.3">
      <c r="B27" s="135"/>
      <c r="C27" s="135"/>
      <c r="D27" s="135"/>
      <c r="E27" s="135"/>
      <c r="F27" s="135"/>
      <c r="G27" s="135"/>
      <c r="H27" s="136"/>
      <c r="I27" s="136"/>
    </row>
    <row r="28" spans="2:12" x14ac:dyDescent="0.3">
      <c r="H28" s="138"/>
      <c r="I28" s="139"/>
    </row>
    <row r="29" spans="2:12" x14ac:dyDescent="0.3">
      <c r="H29" s="140"/>
      <c r="I29" s="141"/>
    </row>
  </sheetData>
  <mergeCells count="16">
    <mergeCell ref="B3:F3"/>
    <mergeCell ref="B4:F4"/>
    <mergeCell ref="H20:I20"/>
    <mergeCell ref="K12:L12"/>
    <mergeCell ref="K13:L13"/>
    <mergeCell ref="H14:I14"/>
    <mergeCell ref="K17:L17"/>
    <mergeCell ref="K18:L18"/>
    <mergeCell ref="H13:I13"/>
    <mergeCell ref="H19:I19"/>
    <mergeCell ref="H6:I6"/>
    <mergeCell ref="K6:L6"/>
    <mergeCell ref="H3:L3"/>
    <mergeCell ref="H5:I5"/>
    <mergeCell ref="K5:L5"/>
    <mergeCell ref="P3:T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F383-9DDD-4A04-A928-2887C8977404}">
  <dimension ref="B2:AA29"/>
  <sheetViews>
    <sheetView tabSelected="1" workbookViewId="0">
      <selection activeCell="J29" sqref="J29"/>
    </sheetView>
  </sheetViews>
  <sheetFormatPr defaultRowHeight="14.4" x14ac:dyDescent="0.3"/>
  <cols>
    <col min="3" max="3" width="12.88671875" customWidth="1"/>
    <col min="4" max="4" width="13.109375" customWidth="1"/>
    <col min="5" max="5" width="10.33203125" customWidth="1"/>
    <col min="6" max="6" width="15.33203125" bestFit="1" customWidth="1"/>
    <col min="7" max="7" width="12" customWidth="1"/>
    <col min="9" max="9" width="18.44140625" customWidth="1"/>
    <col min="10" max="10" width="12" customWidth="1"/>
    <col min="12" max="12" width="20.44140625" bestFit="1" customWidth="1"/>
    <col min="13" max="13" width="15.88671875" bestFit="1" customWidth="1"/>
    <col min="15" max="15" width="19.44140625" bestFit="1" customWidth="1"/>
    <col min="17" max="17" width="19.77734375" customWidth="1"/>
    <col min="18" max="18" width="11.6640625" customWidth="1"/>
    <col min="19" max="19" width="12.5546875" customWidth="1"/>
    <col min="20" max="20" width="11.5546875" customWidth="1"/>
    <col min="21" max="21" width="15" customWidth="1"/>
    <col min="23" max="23" width="18.109375" customWidth="1"/>
    <col min="24" max="24" width="16.88671875" customWidth="1"/>
    <col min="25" max="25" width="11.109375" customWidth="1"/>
    <col min="26" max="26" width="11.33203125" customWidth="1"/>
  </cols>
  <sheetData>
    <row r="2" spans="2:27" ht="15" thickBot="1" x14ac:dyDescent="0.35"/>
    <row r="3" spans="2:27" ht="24" thickBot="1" x14ac:dyDescent="0.5">
      <c r="B3" s="103" t="s">
        <v>56</v>
      </c>
      <c r="C3" s="104"/>
      <c r="D3" s="104"/>
      <c r="E3" s="104"/>
      <c r="F3" s="104"/>
      <c r="G3" s="105"/>
      <c r="I3" s="103" t="s">
        <v>18</v>
      </c>
      <c r="J3" s="104"/>
      <c r="K3" s="104"/>
      <c r="L3" s="104"/>
      <c r="M3" s="105"/>
      <c r="O3" s="71" t="s">
        <v>138</v>
      </c>
      <c r="Q3" s="103" t="s">
        <v>147</v>
      </c>
      <c r="R3" s="104"/>
      <c r="S3" s="104"/>
      <c r="T3" s="104"/>
      <c r="U3" s="105"/>
      <c r="W3" s="103" t="s">
        <v>147</v>
      </c>
      <c r="X3" s="104"/>
      <c r="Y3" s="104"/>
      <c r="Z3" s="104"/>
      <c r="AA3" s="105"/>
    </row>
    <row r="4" spans="2:27" ht="15" thickBot="1" x14ac:dyDescent="0.35">
      <c r="B4" s="97"/>
      <c r="C4" s="98"/>
      <c r="D4" s="98"/>
      <c r="E4" s="98"/>
      <c r="F4" s="98"/>
      <c r="G4" s="99"/>
    </row>
    <row r="5" spans="2:27" ht="16.2" thickBot="1" x14ac:dyDescent="0.35">
      <c r="B5" s="13" t="s">
        <v>1</v>
      </c>
      <c r="C5" s="14" t="s">
        <v>57</v>
      </c>
      <c r="D5" s="14" t="s">
        <v>58</v>
      </c>
      <c r="E5" s="14" t="s">
        <v>59</v>
      </c>
      <c r="F5" s="14" t="s">
        <v>60</v>
      </c>
      <c r="G5" s="15" t="s">
        <v>61</v>
      </c>
      <c r="I5" s="93" t="s">
        <v>19</v>
      </c>
      <c r="J5" s="94"/>
      <c r="L5" s="88" t="s">
        <v>22</v>
      </c>
      <c r="M5" s="89"/>
      <c r="O5" s="72" t="s">
        <v>151</v>
      </c>
      <c r="W5" s="129" t="s">
        <v>158</v>
      </c>
      <c r="X5" s="130"/>
    </row>
    <row r="6" spans="2:27" x14ac:dyDescent="0.3">
      <c r="B6" s="4"/>
      <c r="C6" s="2"/>
      <c r="D6" s="2"/>
      <c r="E6" s="2"/>
      <c r="F6" s="2"/>
      <c r="G6" s="3"/>
      <c r="I6" s="95"/>
      <c r="J6" s="96"/>
      <c r="L6" s="95"/>
      <c r="M6" s="96"/>
      <c r="O6" s="73" t="s">
        <v>66</v>
      </c>
      <c r="W6" s="86"/>
      <c r="X6" s="87"/>
    </row>
    <row r="7" spans="2:27" x14ac:dyDescent="0.3">
      <c r="B7" s="49">
        <v>46082</v>
      </c>
      <c r="C7" s="50" t="s">
        <v>62</v>
      </c>
      <c r="D7" s="50" t="s">
        <v>64</v>
      </c>
      <c r="E7" s="51">
        <v>85000</v>
      </c>
      <c r="F7" s="51">
        <v>5</v>
      </c>
      <c r="G7" s="52" t="s">
        <v>71</v>
      </c>
      <c r="I7" s="36" t="s">
        <v>126</v>
      </c>
      <c r="J7" s="57">
        <f>SUM(E7:E26)</f>
        <v>1614000</v>
      </c>
      <c r="L7" s="36" t="s">
        <v>148</v>
      </c>
      <c r="M7" s="59">
        <f ca="1">TODAY()</f>
        <v>46073</v>
      </c>
      <c r="O7" s="74" t="s">
        <v>71</v>
      </c>
      <c r="W7" s="36" t="s">
        <v>64</v>
      </c>
      <c r="X7" s="57">
        <f>COUNTIF(D7:D26,"IT")</f>
        <v>5</v>
      </c>
    </row>
    <row r="8" spans="2:27" x14ac:dyDescent="0.3">
      <c r="B8" s="49">
        <v>46083</v>
      </c>
      <c r="C8" s="50" t="s">
        <v>63</v>
      </c>
      <c r="D8" s="50" t="s">
        <v>65</v>
      </c>
      <c r="E8" s="51">
        <v>62000</v>
      </c>
      <c r="F8" s="51">
        <v>3</v>
      </c>
      <c r="G8" s="52" t="s">
        <v>70</v>
      </c>
      <c r="I8" s="36" t="s">
        <v>127</v>
      </c>
      <c r="J8" s="57">
        <f>AVERAGE(E7:E26)</f>
        <v>80700</v>
      </c>
      <c r="L8" s="36" t="s">
        <v>149</v>
      </c>
      <c r="M8" s="60">
        <f ca="1">NOW()</f>
        <v>46073.626656597226</v>
      </c>
      <c r="O8" s="73" t="s">
        <v>67</v>
      </c>
      <c r="W8" s="36" t="s">
        <v>159</v>
      </c>
      <c r="X8" s="57">
        <f>COUNTIF(D7:D26,"SALES")</f>
        <v>4</v>
      </c>
    </row>
    <row r="9" spans="2:27" ht="15" thickBot="1" x14ac:dyDescent="0.35">
      <c r="B9" s="49">
        <v>46084</v>
      </c>
      <c r="C9" s="50" t="s">
        <v>72</v>
      </c>
      <c r="D9" s="50" t="s">
        <v>68</v>
      </c>
      <c r="E9" s="51">
        <v>71000</v>
      </c>
      <c r="F9" s="51">
        <v>4</v>
      </c>
      <c r="G9" s="52" t="s">
        <v>71</v>
      </c>
      <c r="I9" s="36" t="s">
        <v>128</v>
      </c>
      <c r="J9" s="57">
        <f>MIN(E7:E26)</f>
        <v>55000</v>
      </c>
      <c r="L9" s="38" t="s">
        <v>150</v>
      </c>
      <c r="M9" s="58">
        <f>DATEDIF(B7,B26,"d")</f>
        <v>19</v>
      </c>
      <c r="O9" s="74" t="s">
        <v>71</v>
      </c>
      <c r="W9" s="36" t="s">
        <v>160</v>
      </c>
      <c r="X9" s="57">
        <f>COUNTIF(D7:D26,"MARKETING")</f>
        <v>3</v>
      </c>
    </row>
    <row r="10" spans="2:27" x14ac:dyDescent="0.3">
      <c r="B10" s="49">
        <v>46085</v>
      </c>
      <c r="C10" s="50" t="s">
        <v>73</v>
      </c>
      <c r="D10" s="50" t="s">
        <v>66</v>
      </c>
      <c r="E10" s="51">
        <v>92000</v>
      </c>
      <c r="F10" s="51">
        <v>8</v>
      </c>
      <c r="G10" s="52" t="s">
        <v>71</v>
      </c>
      <c r="I10" s="36" t="s">
        <v>139</v>
      </c>
      <c r="J10" s="57">
        <f>MAX(E7:E26)</f>
        <v>120000</v>
      </c>
      <c r="O10" s="74" t="s">
        <v>70</v>
      </c>
      <c r="W10" s="36" t="s">
        <v>161</v>
      </c>
      <c r="X10" s="57">
        <f>COUNTIF(D7:D26,"FINANCE")</f>
        <v>3</v>
      </c>
    </row>
    <row r="11" spans="2:27" ht="15" thickBot="1" x14ac:dyDescent="0.35">
      <c r="B11" s="49">
        <v>46086</v>
      </c>
      <c r="C11" s="50" t="s">
        <v>74</v>
      </c>
      <c r="D11" s="50" t="s">
        <v>67</v>
      </c>
      <c r="E11" s="51">
        <v>68000</v>
      </c>
      <c r="F11" s="51">
        <v>6</v>
      </c>
      <c r="G11" s="52" t="s">
        <v>71</v>
      </c>
      <c r="I11" s="38" t="s">
        <v>130</v>
      </c>
      <c r="J11" s="58">
        <f>COUNT(E7:E26)</f>
        <v>20</v>
      </c>
      <c r="O11" s="73" t="s">
        <v>64</v>
      </c>
      <c r="W11" s="36" t="s">
        <v>67</v>
      </c>
      <c r="X11" s="57">
        <f>COUNTIF(D7:D26,"HR")</f>
        <v>3</v>
      </c>
    </row>
    <row r="12" spans="2:27" ht="16.2" thickBot="1" x14ac:dyDescent="0.35">
      <c r="B12" s="49">
        <v>46087</v>
      </c>
      <c r="C12" s="50" t="s">
        <v>75</v>
      </c>
      <c r="D12" s="50" t="s">
        <v>64</v>
      </c>
      <c r="E12" s="51">
        <v>105000</v>
      </c>
      <c r="F12" s="51">
        <v>12</v>
      </c>
      <c r="G12" s="52" t="s">
        <v>71</v>
      </c>
      <c r="L12" s="88" t="s">
        <v>23</v>
      </c>
      <c r="M12" s="89"/>
      <c r="O12" s="74" t="s">
        <v>71</v>
      </c>
      <c r="W12" s="38" t="s">
        <v>162</v>
      </c>
      <c r="X12" s="58">
        <f>COUNTIF(D7:D26,"OPERATIONS")</f>
        <v>2</v>
      </c>
    </row>
    <row r="13" spans="2:27" ht="16.2" thickBot="1" x14ac:dyDescent="0.35">
      <c r="B13" s="49">
        <v>46088</v>
      </c>
      <c r="C13" s="50" t="s">
        <v>76</v>
      </c>
      <c r="D13" s="50" t="s">
        <v>65</v>
      </c>
      <c r="E13" s="51">
        <v>58000</v>
      </c>
      <c r="F13" s="51">
        <v>2</v>
      </c>
      <c r="G13" s="52" t="s">
        <v>70</v>
      </c>
      <c r="I13" s="88" t="s">
        <v>21</v>
      </c>
      <c r="J13" s="89"/>
      <c r="L13" s="86"/>
      <c r="M13" s="87"/>
      <c r="O13" s="73" t="s">
        <v>68</v>
      </c>
    </row>
    <row r="14" spans="2:27" x14ac:dyDescent="0.3">
      <c r="B14" s="49">
        <v>46089</v>
      </c>
      <c r="C14" s="50" t="s">
        <v>77</v>
      </c>
      <c r="D14" s="50" t="s">
        <v>69</v>
      </c>
      <c r="E14" s="51">
        <v>85000</v>
      </c>
      <c r="F14" s="51">
        <v>5</v>
      </c>
      <c r="G14" s="52" t="s">
        <v>71</v>
      </c>
      <c r="I14" s="118"/>
      <c r="J14" s="117"/>
      <c r="L14" s="36" t="s">
        <v>24</v>
      </c>
      <c r="M14" s="61">
        <f>PMT(0.05/12,60,E7)</f>
        <v>-1604.0548597409295</v>
      </c>
      <c r="O14" s="74" t="s">
        <v>71</v>
      </c>
    </row>
    <row r="15" spans="2:27" ht="15" thickBot="1" x14ac:dyDescent="0.35">
      <c r="B15" s="49">
        <v>46090</v>
      </c>
      <c r="C15" s="50" t="s">
        <v>78</v>
      </c>
      <c r="D15" s="50" t="s">
        <v>68</v>
      </c>
      <c r="E15" s="51">
        <v>69000</v>
      </c>
      <c r="F15" s="51">
        <v>3</v>
      </c>
      <c r="G15" s="52" t="s">
        <v>71</v>
      </c>
      <c r="I15" s="36" t="s">
        <v>131</v>
      </c>
      <c r="J15" s="57" t="str">
        <f>IF(E7&gt;50000,"GOOD","AVERAGE")</f>
        <v>GOOD</v>
      </c>
      <c r="L15" s="38" t="s">
        <v>25</v>
      </c>
      <c r="M15" s="62">
        <f>NPV(0.1,E7:E26)</f>
        <v>676550.03526351717</v>
      </c>
      <c r="O15" s="74" t="s">
        <v>70</v>
      </c>
    </row>
    <row r="16" spans="2:27" ht="15" thickBot="1" x14ac:dyDescent="0.35">
      <c r="B16" s="49">
        <v>46091</v>
      </c>
      <c r="C16" s="50" t="s">
        <v>79</v>
      </c>
      <c r="D16" s="50" t="s">
        <v>64</v>
      </c>
      <c r="E16" s="51">
        <v>88000</v>
      </c>
      <c r="F16" s="51">
        <v>7</v>
      </c>
      <c r="G16" s="52" t="s">
        <v>71</v>
      </c>
      <c r="I16" s="36" t="s">
        <v>132</v>
      </c>
      <c r="J16" s="57" t="b">
        <f>AND(E7&lt;90000)</f>
        <v>1</v>
      </c>
      <c r="O16" s="73" t="s">
        <v>69</v>
      </c>
    </row>
    <row r="17" spans="2:15" ht="16.2" thickBot="1" x14ac:dyDescent="0.35">
      <c r="B17" s="49">
        <v>46092</v>
      </c>
      <c r="C17" s="50" t="s">
        <v>80</v>
      </c>
      <c r="D17" s="50" t="s">
        <v>66</v>
      </c>
      <c r="E17" s="51">
        <v>115000</v>
      </c>
      <c r="F17" s="51">
        <v>15</v>
      </c>
      <c r="G17" s="52" t="s">
        <v>71</v>
      </c>
      <c r="I17" s="38" t="s">
        <v>133</v>
      </c>
      <c r="J17" s="58" t="b">
        <f>OR(E7&gt;90000)</f>
        <v>0</v>
      </c>
      <c r="L17" s="124" t="s">
        <v>26</v>
      </c>
      <c r="M17" s="125"/>
      <c r="O17" s="74" t="s">
        <v>71</v>
      </c>
    </row>
    <row r="18" spans="2:15" ht="15" thickBot="1" x14ac:dyDescent="0.35">
      <c r="B18" s="49">
        <v>46093</v>
      </c>
      <c r="C18" s="50" t="s">
        <v>81</v>
      </c>
      <c r="D18" s="50" t="s">
        <v>67</v>
      </c>
      <c r="E18" s="51">
        <v>61000</v>
      </c>
      <c r="F18" s="51">
        <v>2</v>
      </c>
      <c r="G18" s="52" t="s">
        <v>70</v>
      </c>
      <c r="L18" s="97"/>
      <c r="M18" s="99"/>
      <c r="O18" s="73" t="s">
        <v>65</v>
      </c>
    </row>
    <row r="19" spans="2:15" ht="16.2" thickBot="1" x14ac:dyDescent="0.35">
      <c r="B19" s="49">
        <v>46094</v>
      </c>
      <c r="C19" s="50" t="s">
        <v>82</v>
      </c>
      <c r="D19" s="50" t="s">
        <v>65</v>
      </c>
      <c r="E19" s="51">
        <v>64000</v>
      </c>
      <c r="F19" s="51">
        <v>4</v>
      </c>
      <c r="G19" s="52" t="s">
        <v>71</v>
      </c>
      <c r="I19" s="88" t="s">
        <v>20</v>
      </c>
      <c r="J19" s="89"/>
      <c r="L19" s="36" t="s">
        <v>140</v>
      </c>
      <c r="M19" s="57">
        <f>AVERAGE(E7:E26)</f>
        <v>80700</v>
      </c>
      <c r="O19" s="74" t="s">
        <v>71</v>
      </c>
    </row>
    <row r="20" spans="2:15" x14ac:dyDescent="0.3">
      <c r="B20" s="49">
        <v>46095</v>
      </c>
      <c r="C20" s="50" t="s">
        <v>83</v>
      </c>
      <c r="D20" s="50" t="s">
        <v>69</v>
      </c>
      <c r="E20" s="51">
        <v>82000</v>
      </c>
      <c r="F20" s="51">
        <v>9</v>
      </c>
      <c r="G20" s="52" t="s">
        <v>71</v>
      </c>
      <c r="I20" s="118"/>
      <c r="J20" s="117"/>
      <c r="L20" s="36" t="s">
        <v>141</v>
      </c>
      <c r="M20" s="57">
        <f>MEDIAN(E7:E26)</f>
        <v>79500</v>
      </c>
      <c r="O20" s="74" t="s">
        <v>70</v>
      </c>
    </row>
    <row r="21" spans="2:15" ht="15" thickBot="1" x14ac:dyDescent="0.35">
      <c r="B21" s="49">
        <v>46096</v>
      </c>
      <c r="C21" s="50" t="s">
        <v>84</v>
      </c>
      <c r="D21" s="50" t="s">
        <v>64</v>
      </c>
      <c r="E21" s="51">
        <v>95000</v>
      </c>
      <c r="F21" s="51">
        <v>10</v>
      </c>
      <c r="G21" s="52" t="s">
        <v>71</v>
      </c>
      <c r="I21" s="36" t="s">
        <v>134</v>
      </c>
      <c r="J21" s="57" t="str">
        <f>LEFT(D9,3)</f>
        <v>Mar</v>
      </c>
      <c r="L21" s="36" t="s">
        <v>142</v>
      </c>
      <c r="M21" s="57">
        <f>MODE(E7:E26)</f>
        <v>85000</v>
      </c>
      <c r="O21" s="75" t="s">
        <v>123</v>
      </c>
    </row>
    <row r="22" spans="2:15" x14ac:dyDescent="0.3">
      <c r="B22" s="49">
        <v>46097</v>
      </c>
      <c r="C22" s="50" t="s">
        <v>85</v>
      </c>
      <c r="D22" s="50" t="s">
        <v>68</v>
      </c>
      <c r="E22" s="51">
        <v>73000</v>
      </c>
      <c r="F22" s="51">
        <v>5</v>
      </c>
      <c r="G22" s="52" t="s">
        <v>70</v>
      </c>
      <c r="I22" s="36" t="s">
        <v>135</v>
      </c>
      <c r="J22" s="57" t="str">
        <f>RIGHT(D10,4)</f>
        <v>ance</v>
      </c>
      <c r="L22" s="36" t="s">
        <v>143</v>
      </c>
      <c r="M22" s="57">
        <f>STDEV(E7:E26)</f>
        <v>18442.228430254414</v>
      </c>
    </row>
    <row r="23" spans="2:15" ht="15" thickBot="1" x14ac:dyDescent="0.35">
      <c r="B23" s="49">
        <v>46098</v>
      </c>
      <c r="C23" s="50" t="s">
        <v>86</v>
      </c>
      <c r="D23" s="50" t="s">
        <v>66</v>
      </c>
      <c r="E23" s="51">
        <v>89000</v>
      </c>
      <c r="F23" s="51">
        <v>7</v>
      </c>
      <c r="G23" s="52" t="s">
        <v>71</v>
      </c>
      <c r="I23" s="36" t="s">
        <v>136</v>
      </c>
      <c r="J23" s="57" t="str">
        <f>MID(D14,2,3)</f>
        <v>per</v>
      </c>
      <c r="L23" s="38" t="s">
        <v>144</v>
      </c>
      <c r="M23" s="58">
        <f>CORREL(E7:E26,F7:F26)</f>
        <v>0.93981541063098162</v>
      </c>
    </row>
    <row r="24" spans="2:15" ht="15" thickBot="1" x14ac:dyDescent="0.35">
      <c r="B24" s="49">
        <v>46099</v>
      </c>
      <c r="C24" s="50" t="s">
        <v>87</v>
      </c>
      <c r="D24" s="50" t="s">
        <v>67</v>
      </c>
      <c r="E24" s="51">
        <v>77000</v>
      </c>
      <c r="F24" s="51">
        <v>8</v>
      </c>
      <c r="G24" s="52" t="s">
        <v>71</v>
      </c>
      <c r="I24" s="38" t="s">
        <v>137</v>
      </c>
      <c r="J24" s="58" t="str">
        <f>_xlfn.CONCAT(D12,E12)</f>
        <v>IT105000</v>
      </c>
    </row>
    <row r="25" spans="2:15" ht="15" thickBot="1" x14ac:dyDescent="0.35">
      <c r="B25" s="49">
        <v>46100</v>
      </c>
      <c r="C25" s="50" t="s">
        <v>88</v>
      </c>
      <c r="D25" s="50" t="s">
        <v>64</v>
      </c>
      <c r="E25" s="51">
        <v>120000</v>
      </c>
      <c r="F25" s="51">
        <v>14</v>
      </c>
      <c r="G25" s="52" t="s">
        <v>71</v>
      </c>
    </row>
    <row r="26" spans="2:15" ht="16.2" thickBot="1" x14ac:dyDescent="0.35">
      <c r="B26" s="53">
        <v>46101</v>
      </c>
      <c r="C26" s="54" t="s">
        <v>89</v>
      </c>
      <c r="D26" s="54" t="s">
        <v>65</v>
      </c>
      <c r="E26" s="55">
        <v>55000</v>
      </c>
      <c r="F26" s="55">
        <v>1</v>
      </c>
      <c r="G26" s="56" t="s">
        <v>71</v>
      </c>
      <c r="I26" s="88" t="s">
        <v>163</v>
      </c>
      <c r="J26" s="89"/>
    </row>
    <row r="27" spans="2:15" s="134" customFormat="1" ht="15.6" x14ac:dyDescent="0.3">
      <c r="B27" s="143"/>
      <c r="C27" s="144"/>
      <c r="D27" s="144"/>
      <c r="E27" s="133"/>
      <c r="F27" s="133"/>
      <c r="G27" s="133"/>
      <c r="I27" s="147"/>
      <c r="J27" s="148"/>
    </row>
    <row r="28" spans="2:15" x14ac:dyDescent="0.3">
      <c r="I28" s="36" t="s">
        <v>170</v>
      </c>
      <c r="J28" s="57" t="s">
        <v>159</v>
      </c>
    </row>
    <row r="29" spans="2:15" ht="15" thickBot="1" x14ac:dyDescent="0.35">
      <c r="I29" s="145" t="s">
        <v>164</v>
      </c>
      <c r="J29" s="146">
        <f>VLOOKUP(J28,D7:G26,2,FALSE)</f>
        <v>62000</v>
      </c>
    </row>
  </sheetData>
  <mergeCells count="21">
    <mergeCell ref="I27:J27"/>
    <mergeCell ref="I26:J26"/>
    <mergeCell ref="B3:G3"/>
    <mergeCell ref="B4:G4"/>
    <mergeCell ref="W3:AA3"/>
    <mergeCell ref="W6:X6"/>
    <mergeCell ref="W5:X5"/>
    <mergeCell ref="Q3:U3"/>
    <mergeCell ref="I20:J20"/>
    <mergeCell ref="L12:M12"/>
    <mergeCell ref="L13:M13"/>
    <mergeCell ref="I14:J14"/>
    <mergeCell ref="L17:M17"/>
    <mergeCell ref="L18:M18"/>
    <mergeCell ref="I13:J13"/>
    <mergeCell ref="I19:J19"/>
    <mergeCell ref="I6:J6"/>
    <mergeCell ref="L6:M6"/>
    <mergeCell ref="I3:M3"/>
    <mergeCell ref="I5:J5"/>
    <mergeCell ref="L5:M5"/>
  </mergeCells>
  <phoneticPr fontId="5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BE29-D9DA-4066-9EA0-C51B7E17BA16}">
  <dimension ref="B2:P29"/>
  <sheetViews>
    <sheetView workbookViewId="0">
      <selection activeCell="J26" sqref="J26"/>
    </sheetView>
  </sheetViews>
  <sheetFormatPr defaultRowHeight="14.4" x14ac:dyDescent="0.3"/>
  <cols>
    <col min="3" max="3" width="13.44140625" bestFit="1" customWidth="1"/>
    <col min="4" max="4" width="12.33203125" bestFit="1" customWidth="1"/>
    <col min="5" max="5" width="11.109375" customWidth="1"/>
    <col min="6" max="6" width="13.109375" bestFit="1" customWidth="1"/>
    <col min="7" max="7" width="11.33203125" customWidth="1"/>
    <col min="9" max="9" width="20.88671875" customWidth="1"/>
    <col min="10" max="10" width="14.33203125" bestFit="1" customWidth="1"/>
    <col min="12" max="12" width="20.44140625" bestFit="1" customWidth="1"/>
    <col min="13" max="13" width="15.6640625" style="78" bestFit="1" customWidth="1"/>
    <col min="15" max="15" width="12.5546875" bestFit="1" customWidth="1"/>
    <col min="16" max="16" width="19.6640625" bestFit="1" customWidth="1"/>
  </cols>
  <sheetData>
    <row r="2" spans="2:16" ht="15" thickBot="1" x14ac:dyDescent="0.35"/>
    <row r="3" spans="2:16" ht="24" thickBot="1" x14ac:dyDescent="0.5">
      <c r="B3" s="126" t="s">
        <v>90</v>
      </c>
      <c r="C3" s="127"/>
      <c r="D3" s="127"/>
      <c r="E3" s="127"/>
      <c r="F3" s="127"/>
      <c r="G3" s="128"/>
      <c r="I3" s="103" t="s">
        <v>18</v>
      </c>
      <c r="J3" s="104"/>
      <c r="K3" s="104"/>
      <c r="L3" s="104"/>
      <c r="M3" s="105"/>
      <c r="O3" s="103" t="s">
        <v>138</v>
      </c>
      <c r="P3" s="105"/>
    </row>
    <row r="4" spans="2:16" ht="15" thickBot="1" x14ac:dyDescent="0.35">
      <c r="B4" s="97"/>
      <c r="C4" s="98"/>
      <c r="D4" s="98"/>
      <c r="E4" s="98"/>
      <c r="F4" s="98"/>
      <c r="G4" s="99"/>
    </row>
    <row r="5" spans="2:16" ht="16.2" thickBot="1" x14ac:dyDescent="0.35">
      <c r="B5" s="10" t="s">
        <v>1</v>
      </c>
      <c r="C5" s="9" t="s">
        <v>91</v>
      </c>
      <c r="D5" s="9" t="s">
        <v>112</v>
      </c>
      <c r="E5" s="9" t="s">
        <v>113</v>
      </c>
      <c r="F5" s="9" t="s">
        <v>114</v>
      </c>
      <c r="G5" s="11" t="s">
        <v>115</v>
      </c>
      <c r="I5" s="93" t="s">
        <v>19</v>
      </c>
      <c r="J5" s="94"/>
      <c r="L5" s="88" t="s">
        <v>22</v>
      </c>
      <c r="M5" s="89"/>
      <c r="O5" s="79" t="s">
        <v>151</v>
      </c>
      <c r="P5" s="80" t="s">
        <v>157</v>
      </c>
    </row>
    <row r="6" spans="2:16" x14ac:dyDescent="0.3">
      <c r="B6" s="4"/>
      <c r="C6" s="2"/>
      <c r="D6" s="2"/>
      <c r="E6" s="2"/>
      <c r="F6" s="2"/>
      <c r="G6" s="3"/>
      <c r="I6" s="95"/>
      <c r="J6" s="96"/>
      <c r="L6" s="118"/>
      <c r="M6" s="117"/>
      <c r="O6" s="81" t="s">
        <v>116</v>
      </c>
      <c r="P6" s="82">
        <v>1450</v>
      </c>
    </row>
    <row r="7" spans="2:16" x14ac:dyDescent="0.3">
      <c r="B7" s="76">
        <v>36982</v>
      </c>
      <c r="C7" s="50" t="s">
        <v>92</v>
      </c>
      <c r="D7" s="51">
        <v>34</v>
      </c>
      <c r="E7" s="51">
        <v>1200</v>
      </c>
      <c r="F7" s="51">
        <v>0</v>
      </c>
      <c r="G7" s="52" t="s">
        <v>116</v>
      </c>
      <c r="I7" s="36" t="s">
        <v>126</v>
      </c>
      <c r="J7" s="57">
        <f>SUM(E7:E26)</f>
        <v>36650</v>
      </c>
      <c r="L7" s="36" t="s">
        <v>148</v>
      </c>
      <c r="M7" s="47">
        <f ca="1">TODAY()</f>
        <v>46073</v>
      </c>
      <c r="O7" s="81" t="s">
        <v>118</v>
      </c>
      <c r="P7" s="82">
        <v>6500</v>
      </c>
    </row>
    <row r="8" spans="2:16" x14ac:dyDescent="0.3">
      <c r="B8" s="76">
        <v>37347</v>
      </c>
      <c r="C8" s="50" t="s">
        <v>93</v>
      </c>
      <c r="D8" s="51">
        <v>45</v>
      </c>
      <c r="E8" s="51">
        <v>2500</v>
      </c>
      <c r="F8" s="51">
        <v>4500</v>
      </c>
      <c r="G8" s="52" t="s">
        <v>117</v>
      </c>
      <c r="I8" s="36" t="s">
        <v>156</v>
      </c>
      <c r="J8" s="57">
        <f>AVERAGE(E7:E26)</f>
        <v>1832.5</v>
      </c>
      <c r="L8" s="36" t="s">
        <v>149</v>
      </c>
      <c r="M8" s="47">
        <f ca="1">NOW()</f>
        <v>46073.626656597226</v>
      </c>
      <c r="O8" s="81" t="s">
        <v>117</v>
      </c>
      <c r="P8" s="82">
        <v>14200</v>
      </c>
    </row>
    <row r="9" spans="2:16" x14ac:dyDescent="0.3">
      <c r="B9" s="76">
        <v>37712</v>
      </c>
      <c r="C9" s="50" t="s">
        <v>94</v>
      </c>
      <c r="D9" s="51">
        <v>28</v>
      </c>
      <c r="E9" s="51">
        <v>800</v>
      </c>
      <c r="F9" s="51">
        <v>1200</v>
      </c>
      <c r="G9" s="52" t="s">
        <v>118</v>
      </c>
      <c r="I9" s="36" t="s">
        <v>128</v>
      </c>
      <c r="J9" s="57">
        <f>MIN(E7:E26)</f>
        <v>800</v>
      </c>
      <c r="L9" s="36" t="s">
        <v>154</v>
      </c>
      <c r="M9" s="47"/>
      <c r="O9" s="81" t="s">
        <v>119</v>
      </c>
      <c r="P9" s="82">
        <v>15000</v>
      </c>
    </row>
    <row r="10" spans="2:16" ht="15" thickBot="1" x14ac:dyDescent="0.35">
      <c r="B10" s="76">
        <v>38078</v>
      </c>
      <c r="C10" s="50" t="s">
        <v>95</v>
      </c>
      <c r="D10" s="51">
        <v>62</v>
      </c>
      <c r="E10" s="51">
        <v>3200</v>
      </c>
      <c r="F10" s="51">
        <v>0</v>
      </c>
      <c r="G10" s="52" t="s">
        <v>119</v>
      </c>
      <c r="I10" s="36" t="s">
        <v>139</v>
      </c>
      <c r="J10" s="57">
        <f>MAX(E7:E26)</f>
        <v>4000</v>
      </c>
      <c r="O10" s="83" t="s">
        <v>123</v>
      </c>
      <c r="P10" s="84">
        <v>37150</v>
      </c>
    </row>
    <row r="11" spans="2:16" ht="15" thickBot="1" x14ac:dyDescent="0.35">
      <c r="B11" s="76">
        <v>38443</v>
      </c>
      <c r="C11" s="50" t="s">
        <v>96</v>
      </c>
      <c r="D11" s="51">
        <v>51</v>
      </c>
      <c r="E11" s="51">
        <v>1500</v>
      </c>
      <c r="F11" s="51">
        <v>800</v>
      </c>
      <c r="G11" s="52" t="s">
        <v>116</v>
      </c>
      <c r="I11" s="38" t="s">
        <v>130</v>
      </c>
      <c r="J11" s="58">
        <f>COUNT(E7:E26)</f>
        <v>20</v>
      </c>
    </row>
    <row r="12" spans="2:16" ht="16.2" thickBot="1" x14ac:dyDescent="0.35">
      <c r="B12" s="76">
        <v>38808</v>
      </c>
      <c r="C12" s="50" t="s">
        <v>97</v>
      </c>
      <c r="D12" s="51">
        <v>39</v>
      </c>
      <c r="E12" s="51">
        <v>2100</v>
      </c>
      <c r="F12" s="51">
        <v>0</v>
      </c>
      <c r="G12" s="52" t="s">
        <v>117</v>
      </c>
      <c r="L12" s="88" t="s">
        <v>23</v>
      </c>
      <c r="M12" s="89"/>
    </row>
    <row r="13" spans="2:16" ht="16.2" thickBot="1" x14ac:dyDescent="0.35">
      <c r="B13" s="76">
        <v>39173</v>
      </c>
      <c r="C13" s="50" t="s">
        <v>98</v>
      </c>
      <c r="D13" s="51">
        <v>23</v>
      </c>
      <c r="E13" s="51">
        <v>950</v>
      </c>
      <c r="F13" s="51">
        <v>300</v>
      </c>
      <c r="G13" s="52" t="s">
        <v>118</v>
      </c>
      <c r="I13" s="88" t="s">
        <v>21</v>
      </c>
      <c r="J13" s="89"/>
      <c r="L13" s="118"/>
      <c r="M13" s="117"/>
    </row>
    <row r="14" spans="2:16" x14ac:dyDescent="0.3">
      <c r="B14" s="76">
        <v>39539</v>
      </c>
      <c r="C14" s="50" t="s">
        <v>99</v>
      </c>
      <c r="D14" s="51">
        <v>48</v>
      </c>
      <c r="E14" s="51">
        <v>1800</v>
      </c>
      <c r="F14" s="51">
        <v>15000</v>
      </c>
      <c r="G14" s="52" t="s">
        <v>119</v>
      </c>
      <c r="I14" s="16"/>
      <c r="J14" s="17"/>
      <c r="L14" s="36" t="s">
        <v>24</v>
      </c>
      <c r="M14" s="47">
        <f>PMT(0.05/12,60,1200)</f>
        <v>-22.645480372813122</v>
      </c>
    </row>
    <row r="15" spans="2:16" x14ac:dyDescent="0.3">
      <c r="B15" s="76">
        <v>39904</v>
      </c>
      <c r="C15" s="50" t="s">
        <v>100</v>
      </c>
      <c r="D15" s="51">
        <v>31</v>
      </c>
      <c r="E15" s="51">
        <v>1100</v>
      </c>
      <c r="F15" s="51">
        <v>0</v>
      </c>
      <c r="G15" s="52" t="s">
        <v>116</v>
      </c>
      <c r="I15" s="36" t="s">
        <v>131</v>
      </c>
      <c r="J15" s="57" t="str">
        <f>IF(E7&gt;2000,"GOOD","AVERAGE")</f>
        <v>AVERAGE</v>
      </c>
      <c r="L15" s="36" t="s">
        <v>25</v>
      </c>
      <c r="M15" s="47">
        <f>NPV(0.1,E7:E26)</f>
        <v>15328.736180772356</v>
      </c>
    </row>
    <row r="16" spans="2:16" ht="15" thickBot="1" x14ac:dyDescent="0.35">
      <c r="B16" s="76">
        <v>40269</v>
      </c>
      <c r="C16" s="50" t="s">
        <v>101</v>
      </c>
      <c r="D16" s="51">
        <v>55</v>
      </c>
      <c r="E16" s="51">
        <v>2800</v>
      </c>
      <c r="F16" s="51">
        <v>1200</v>
      </c>
      <c r="G16" s="52" t="s">
        <v>117</v>
      </c>
      <c r="I16" s="36" t="s">
        <v>132</v>
      </c>
      <c r="J16" s="57" t="b">
        <f>AND(E7&gt;3000)</f>
        <v>0</v>
      </c>
    </row>
    <row r="17" spans="2:13" ht="16.2" thickBot="1" x14ac:dyDescent="0.35">
      <c r="B17" s="76">
        <v>40634</v>
      </c>
      <c r="C17" s="50" t="s">
        <v>102</v>
      </c>
      <c r="D17" s="51">
        <v>29</v>
      </c>
      <c r="E17" s="51">
        <v>850</v>
      </c>
      <c r="F17" s="51">
        <v>0</v>
      </c>
      <c r="G17" s="52" t="s">
        <v>118</v>
      </c>
      <c r="I17" s="36" t="s">
        <v>133</v>
      </c>
      <c r="J17" s="57" t="b">
        <f>OR(E7&lt;3000)</f>
        <v>1</v>
      </c>
      <c r="L17" s="88" t="s">
        <v>26</v>
      </c>
      <c r="M17" s="89"/>
    </row>
    <row r="18" spans="2:13" ht="15" thickBot="1" x14ac:dyDescent="0.35">
      <c r="B18" s="76">
        <v>41000</v>
      </c>
      <c r="C18" s="50" t="s">
        <v>103</v>
      </c>
      <c r="D18" s="51">
        <v>42</v>
      </c>
      <c r="E18" s="51">
        <v>1400</v>
      </c>
      <c r="F18" s="51">
        <v>250</v>
      </c>
      <c r="G18" s="52" t="s">
        <v>116</v>
      </c>
      <c r="L18" s="118"/>
      <c r="M18" s="117"/>
    </row>
    <row r="19" spans="2:13" ht="16.2" thickBot="1" x14ac:dyDescent="0.35">
      <c r="B19" s="76">
        <v>41365</v>
      </c>
      <c r="C19" s="50" t="s">
        <v>104</v>
      </c>
      <c r="D19" s="51">
        <v>37</v>
      </c>
      <c r="E19" s="51">
        <v>2300</v>
      </c>
      <c r="F19" s="51">
        <v>0</v>
      </c>
      <c r="G19" s="52" t="s">
        <v>117</v>
      </c>
      <c r="I19" s="88" t="s">
        <v>20</v>
      </c>
      <c r="J19" s="89"/>
      <c r="L19" s="36" t="s">
        <v>140</v>
      </c>
      <c r="M19" s="47">
        <f>AVERAGE(E7:E26)</f>
        <v>1832.5</v>
      </c>
    </row>
    <row r="20" spans="2:13" x14ac:dyDescent="0.3">
      <c r="B20" s="76">
        <v>41730</v>
      </c>
      <c r="C20" s="50" t="s">
        <v>105</v>
      </c>
      <c r="D20" s="51">
        <v>60</v>
      </c>
      <c r="E20" s="51">
        <v>4000</v>
      </c>
      <c r="F20" s="51">
        <v>0</v>
      </c>
      <c r="G20" s="52" t="s">
        <v>119</v>
      </c>
      <c r="I20" s="16"/>
      <c r="J20" s="17"/>
      <c r="L20" s="36" t="s">
        <v>141</v>
      </c>
      <c r="M20" s="47">
        <f>MEDIAN(E7:E26)</f>
        <v>1550</v>
      </c>
    </row>
    <row r="21" spans="2:13" x14ac:dyDescent="0.3">
      <c r="B21" s="76">
        <v>42095</v>
      </c>
      <c r="C21" s="50" t="s">
        <v>106</v>
      </c>
      <c r="D21" s="51">
        <v>25</v>
      </c>
      <c r="E21" s="51">
        <v>1000</v>
      </c>
      <c r="F21" s="51">
        <v>5000</v>
      </c>
      <c r="G21" s="52" t="s">
        <v>118</v>
      </c>
      <c r="I21" s="36" t="s">
        <v>134</v>
      </c>
      <c r="J21" s="57" t="str">
        <f>LEFT(G13,2)</f>
        <v>He</v>
      </c>
      <c r="L21" s="36" t="s">
        <v>142</v>
      </c>
      <c r="M21" s="47">
        <f>MODE(E7:E26)</f>
        <v>3200</v>
      </c>
    </row>
    <row r="22" spans="2:13" x14ac:dyDescent="0.3">
      <c r="B22" s="76">
        <v>42461</v>
      </c>
      <c r="C22" s="50" t="s">
        <v>107</v>
      </c>
      <c r="D22" s="51">
        <v>53</v>
      </c>
      <c r="E22" s="51">
        <v>1600</v>
      </c>
      <c r="F22" s="51">
        <v>0</v>
      </c>
      <c r="G22" s="52" t="s">
        <v>116</v>
      </c>
      <c r="I22" s="36" t="s">
        <v>135</v>
      </c>
      <c r="J22" s="57" t="str">
        <f>RIGHT(G10,1)</f>
        <v>e</v>
      </c>
      <c r="L22" s="36" t="s">
        <v>143</v>
      </c>
      <c r="M22" s="47">
        <f>STDEV(E7:E26)</f>
        <v>907.75532873242071</v>
      </c>
    </row>
    <row r="23" spans="2:13" ht="15" thickBot="1" x14ac:dyDescent="0.35">
      <c r="B23" s="76">
        <v>42826</v>
      </c>
      <c r="C23" s="50" t="s">
        <v>108</v>
      </c>
      <c r="D23" s="51">
        <v>41</v>
      </c>
      <c r="E23" s="51">
        <v>3200</v>
      </c>
      <c r="F23" s="51">
        <v>8500</v>
      </c>
      <c r="G23" s="52" t="s">
        <v>117</v>
      </c>
      <c r="I23" s="36" t="s">
        <v>136</v>
      </c>
      <c r="J23" s="57" t="str">
        <f>MID(G8,1,2)</f>
        <v>Ho</v>
      </c>
      <c r="L23" s="38" t="s">
        <v>144</v>
      </c>
      <c r="M23" s="48">
        <f>CORREL(E7:E26,F7:F26)</f>
        <v>0.13730722718853991</v>
      </c>
    </row>
    <row r="24" spans="2:13" ht="15" thickBot="1" x14ac:dyDescent="0.35">
      <c r="B24" s="76">
        <v>43191</v>
      </c>
      <c r="C24" s="50" t="s">
        <v>109</v>
      </c>
      <c r="D24" s="51">
        <v>33</v>
      </c>
      <c r="E24" s="51">
        <v>1150</v>
      </c>
      <c r="F24" s="51">
        <v>0</v>
      </c>
      <c r="G24" s="52" t="s">
        <v>116</v>
      </c>
      <c r="I24" s="38" t="s">
        <v>137</v>
      </c>
      <c r="J24" s="58" t="str">
        <f>_xlfn.CONCAT(C9,G9)</f>
        <v>POL-9901Health</v>
      </c>
    </row>
    <row r="25" spans="2:13" x14ac:dyDescent="0.3">
      <c r="B25" s="76">
        <v>43556</v>
      </c>
      <c r="C25" s="50" t="s">
        <v>110</v>
      </c>
      <c r="D25" s="51">
        <v>42</v>
      </c>
      <c r="E25" s="51">
        <v>1900</v>
      </c>
      <c r="F25" s="51">
        <v>0</v>
      </c>
      <c r="G25" s="52" t="s">
        <v>118</v>
      </c>
    </row>
    <row r="26" spans="2:13" ht="16.2" thickBot="1" x14ac:dyDescent="0.35">
      <c r="B26" s="77">
        <v>43922</v>
      </c>
      <c r="C26" s="54" t="s">
        <v>111</v>
      </c>
      <c r="D26" s="55">
        <v>35</v>
      </c>
      <c r="E26" s="55">
        <v>1300</v>
      </c>
      <c r="F26" s="55">
        <v>400</v>
      </c>
      <c r="G26" s="56" t="s">
        <v>116</v>
      </c>
      <c r="I26" s="137"/>
      <c r="J26" s="137"/>
    </row>
    <row r="27" spans="2:13" x14ac:dyDescent="0.3">
      <c r="I27" s="138"/>
      <c r="J27" s="138"/>
    </row>
    <row r="28" spans="2:13" x14ac:dyDescent="0.3">
      <c r="I28" s="140"/>
      <c r="J28" s="141"/>
    </row>
    <row r="29" spans="2:13" x14ac:dyDescent="0.3">
      <c r="I29" s="149"/>
      <c r="J29" s="149"/>
    </row>
  </sheetData>
  <mergeCells count="14">
    <mergeCell ref="O3:P3"/>
    <mergeCell ref="I6:J6"/>
    <mergeCell ref="L6:M6"/>
    <mergeCell ref="I3:M3"/>
    <mergeCell ref="I5:J5"/>
    <mergeCell ref="L5:M5"/>
    <mergeCell ref="L18:M18"/>
    <mergeCell ref="I19:J19"/>
    <mergeCell ref="B3:G3"/>
    <mergeCell ref="B4:G4"/>
    <mergeCell ref="L12:M12"/>
    <mergeCell ref="L13:M13"/>
    <mergeCell ref="L17:M17"/>
    <mergeCell ref="I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MARKETING</vt:lpstr>
      <vt:lpstr>FINANCE</vt:lpstr>
      <vt:lpstr>HR</vt:lpstr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Dafare</dc:creator>
  <cp:lastModifiedBy>Abhishek Dafare</cp:lastModifiedBy>
  <dcterms:created xsi:type="dcterms:W3CDTF">2026-02-15T11:41:10Z</dcterms:created>
  <dcterms:modified xsi:type="dcterms:W3CDTF">2026-02-20T09:44:48Z</dcterms:modified>
</cp:coreProperties>
</file>