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BA\"/>
    </mc:Choice>
  </mc:AlternateContent>
  <xr:revisionPtr revIDLastSave="0" documentId="13_ncr:1_{7F347C82-ABED-46BF-BA47-D58B647AED3C}" xr6:coauthVersionLast="47" xr6:coauthVersionMax="47" xr10:uidLastSave="{00000000-0000-0000-0000-000000000000}"/>
  <bookViews>
    <workbookView xWindow="-108" yWindow="-108" windowWidth="23256" windowHeight="12456" xr2:uid="{75AB7911-1AE4-4019-973E-EF1901FD07C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pivotCaches>
    <pivotCache cacheId="11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" i="2" l="1"/>
  <c r="J11" i="2"/>
  <c r="J10" i="2"/>
  <c r="J9" i="2"/>
  <c r="J8" i="2"/>
  <c r="J7" i="2"/>
  <c r="F24" i="2"/>
  <c r="F25" i="2"/>
  <c r="F26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7" i="2"/>
  <c r="O25" i="1"/>
  <c r="P24" i="1"/>
  <c r="N24" i="1"/>
  <c r="P23" i="1"/>
  <c r="N23" i="1"/>
  <c r="P22" i="1"/>
  <c r="N22" i="1"/>
  <c r="P21" i="1"/>
  <c r="N21" i="1"/>
  <c r="N15" i="1"/>
  <c r="N14" i="1"/>
  <c r="N9" i="1"/>
  <c r="N8" i="1"/>
  <c r="N7" i="1"/>
  <c r="K25" i="1"/>
  <c r="K24" i="1"/>
  <c r="K23" i="1"/>
  <c r="K22" i="1"/>
  <c r="K18" i="1"/>
  <c r="K17" i="1"/>
  <c r="K16" i="1"/>
  <c r="K12" i="1"/>
  <c r="K11" i="1"/>
  <c r="K10" i="1"/>
  <c r="K9" i="1"/>
  <c r="K8" i="1"/>
  <c r="K7" i="1"/>
</calcChain>
</file>

<file path=xl/sharedStrings.xml><?xml version="1.0" encoding="utf-8"?>
<sst xmlns="http://schemas.openxmlformats.org/spreadsheetml/2006/main" count="354" uniqueCount="148">
  <si>
    <t xml:space="preserve">"DAILY SALES REPORT" </t>
  </si>
  <si>
    <t>Date</t>
  </si>
  <si>
    <t>Product</t>
  </si>
  <si>
    <t>Laptop</t>
  </si>
  <si>
    <t>Powerbank</t>
  </si>
  <si>
    <t>Mobile</t>
  </si>
  <si>
    <t>Watch</t>
  </si>
  <si>
    <t>Tablet</t>
  </si>
  <si>
    <t>Headphones</t>
  </si>
  <si>
    <t>TV</t>
  </si>
  <si>
    <t>Refrigerator</t>
  </si>
  <si>
    <t>Region</t>
  </si>
  <si>
    <t>North</t>
  </si>
  <si>
    <t>East</t>
  </si>
  <si>
    <t>South</t>
  </si>
  <si>
    <t>West</t>
  </si>
  <si>
    <t>Sales Amount</t>
  </si>
  <si>
    <t>Profit</t>
  </si>
  <si>
    <t>EXCEL FUNCTIONS</t>
  </si>
  <si>
    <t>MATHEMATICAL FUNCTIONS</t>
  </si>
  <si>
    <t>Total Sales Amount</t>
  </si>
  <si>
    <t>Minimum Sales</t>
  </si>
  <si>
    <t>Maximum Sales</t>
  </si>
  <si>
    <t>Count of Sales</t>
  </si>
  <si>
    <t>Total Profit</t>
  </si>
  <si>
    <t>Average Sales</t>
  </si>
  <si>
    <t>And (True or False)</t>
  </si>
  <si>
    <t>Or (True Or False)</t>
  </si>
  <si>
    <t>If (Max Sales)</t>
  </si>
  <si>
    <t>TEXT FUNCTIONS</t>
  </si>
  <si>
    <t>LOGICAL FUNCTIONS</t>
  </si>
  <si>
    <t>DATE FUNCTIONS</t>
  </si>
  <si>
    <t>Today</t>
  </si>
  <si>
    <t>Now</t>
  </si>
  <si>
    <t>FINCANCIAL FUNCTIONS</t>
  </si>
  <si>
    <t>PMT</t>
  </si>
  <si>
    <t>NPV</t>
  </si>
  <si>
    <t>STATISTICAL FUNCTIONS</t>
  </si>
  <si>
    <t>Left (3,E9)</t>
  </si>
  <si>
    <t>Right(4,E11)</t>
  </si>
  <si>
    <t>Mid (2,3,D12)</t>
  </si>
  <si>
    <t>Concat(D24,E24)</t>
  </si>
  <si>
    <t>Dated if</t>
  </si>
  <si>
    <t>Mode</t>
  </si>
  <si>
    <t>MARKETING DATA</t>
  </si>
  <si>
    <t>Campaign</t>
  </si>
  <si>
    <t>Leads Generated</t>
  </si>
  <si>
    <t>Cost</t>
  </si>
  <si>
    <t>Conversion Rate</t>
  </si>
  <si>
    <t>Summer Sale FB</t>
  </si>
  <si>
    <t>Google Search B2B</t>
  </si>
  <si>
    <t>Email Newsletter Q1</t>
  </si>
  <si>
    <t>Instagram Influencer A</t>
  </si>
  <si>
    <t>Linkedin Tech Outreach</t>
  </si>
  <si>
    <t>TikTok Brand Awareness</t>
  </si>
  <si>
    <t>Webinar Series</t>
  </si>
  <si>
    <t>Podcast Sponsorship</t>
  </si>
  <si>
    <t>Referral Program</t>
  </si>
  <si>
    <t>Winter Clearance</t>
  </si>
  <si>
    <t>Trade Show Leads</t>
  </si>
  <si>
    <t>You Tube Pre-roll</t>
  </si>
  <si>
    <t>Twitter Promoted Post</t>
  </si>
  <si>
    <t>Blog Content SEO</t>
  </si>
  <si>
    <t>Direct Mail Promo</t>
  </si>
  <si>
    <t>Retargeting Ads</t>
  </si>
  <si>
    <t>Spring Catalog</t>
  </si>
  <si>
    <t>Affiliate Network</t>
  </si>
  <si>
    <t>Holiday Gift Guide</t>
  </si>
  <si>
    <t>SMS Flash Sale</t>
  </si>
  <si>
    <t>FINANCE DATA</t>
  </si>
  <si>
    <t>Revenue</t>
  </si>
  <si>
    <t>Expenses</t>
  </si>
  <si>
    <t>Budget vs Actual</t>
  </si>
  <si>
    <t>HR DATA</t>
  </si>
  <si>
    <t>Employee ID</t>
  </si>
  <si>
    <t>Department</t>
  </si>
  <si>
    <t>Salary</t>
  </si>
  <si>
    <t>Experience(Yrs)</t>
  </si>
  <si>
    <t>Attrition</t>
  </si>
  <si>
    <t>EMP-101</t>
  </si>
  <si>
    <t>EMP-102</t>
  </si>
  <si>
    <t>IT</t>
  </si>
  <si>
    <t>Sales</t>
  </si>
  <si>
    <t>Finance</t>
  </si>
  <si>
    <t>HR</t>
  </si>
  <si>
    <t>Marketing</t>
  </si>
  <si>
    <t>Operations</t>
  </si>
  <si>
    <t>Yes</t>
  </si>
  <si>
    <t>No</t>
  </si>
  <si>
    <t>EMP-103</t>
  </si>
  <si>
    <t>EMP-104</t>
  </si>
  <si>
    <t>EMP-105</t>
  </si>
  <si>
    <t>EMP-106</t>
  </si>
  <si>
    <t>EMP-107</t>
  </si>
  <si>
    <t>EMP-108</t>
  </si>
  <si>
    <t>EMP-109</t>
  </si>
  <si>
    <t>EMP-110</t>
  </si>
  <si>
    <t>EMP-111</t>
  </si>
  <si>
    <t>EMP-112</t>
  </si>
  <si>
    <t>EMP-113</t>
  </si>
  <si>
    <t>EMP-114</t>
  </si>
  <si>
    <t>EMP-115</t>
  </si>
  <si>
    <t>EMP-116</t>
  </si>
  <si>
    <t>EMP-117</t>
  </si>
  <si>
    <t>EMP-118</t>
  </si>
  <si>
    <t>EMP-119</t>
  </si>
  <si>
    <t>EMP-120</t>
  </si>
  <si>
    <t>INSURANCE DATA</t>
  </si>
  <si>
    <t>Policy Number</t>
  </si>
  <si>
    <t>POL-8821</t>
  </si>
  <si>
    <t>POL-4321</t>
  </si>
  <si>
    <t>POL-9901</t>
  </si>
  <si>
    <t>POL-6787</t>
  </si>
  <si>
    <t>POL-4783</t>
  </si>
  <si>
    <t>POL-7894</t>
  </si>
  <si>
    <t>POL-8726</t>
  </si>
  <si>
    <t>POL-8765</t>
  </si>
  <si>
    <t>POL-9852</t>
  </si>
  <si>
    <t>POL-1167</t>
  </si>
  <si>
    <t>POL-2567</t>
  </si>
  <si>
    <t>POL-2298</t>
  </si>
  <si>
    <t>POL-6757</t>
  </si>
  <si>
    <t>POL-8756</t>
  </si>
  <si>
    <t>POL-3838</t>
  </si>
  <si>
    <t>POL-7868</t>
  </si>
  <si>
    <t>POL-8836</t>
  </si>
  <si>
    <t>POL-7878</t>
  </si>
  <si>
    <t>POL-7984</t>
  </si>
  <si>
    <t>POL-7760</t>
  </si>
  <si>
    <t>Customer Age</t>
  </si>
  <si>
    <t xml:space="preserve">Premium </t>
  </si>
  <si>
    <t>Claim Amount</t>
  </si>
  <si>
    <t>Policy Type</t>
  </si>
  <si>
    <t>Auto</t>
  </si>
  <si>
    <t>Home</t>
  </si>
  <si>
    <t>Health</t>
  </si>
  <si>
    <t>Life</t>
  </si>
  <si>
    <t xml:space="preserve">Mean </t>
  </si>
  <si>
    <t xml:space="preserve">Median </t>
  </si>
  <si>
    <t>Standard Deviation</t>
  </si>
  <si>
    <t>Correlation</t>
  </si>
  <si>
    <t>FOR SALES</t>
  </si>
  <si>
    <t>FOR PROFITS</t>
  </si>
  <si>
    <t>PIVOT TABLES</t>
  </si>
  <si>
    <t>Row Labels</t>
  </si>
  <si>
    <t>Grand Total</t>
  </si>
  <si>
    <t>(blank)</t>
  </si>
  <si>
    <t>Sum of Sales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</si>
</sst>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0" xfId="0" applyAlignment="1">
      <alignment horizontal="center" vertical="center"/>
    </xf>
    <xf numFmtId="0" fontId="0" fillId="0" borderId="7" xfId="0" applyBorder="1"/>
    <xf numFmtId="16" fontId="0" fillId="0" borderId="8" xfId="0" applyNumberFormat="1" applyBorder="1"/>
    <xf numFmtId="0" fontId="0" fillId="0" borderId="9" xfId="0" applyBorder="1"/>
    <xf numFmtId="16" fontId="0" fillId="0" borderId="10" xfId="0" applyNumberFormat="1" applyBorder="1"/>
    <xf numFmtId="0" fontId="0" fillId="0" borderId="11" xfId="0" applyBorder="1"/>
    <xf numFmtId="0" fontId="0" fillId="0" borderId="12" xfId="0" applyBorder="1"/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14" fontId="0" fillId="0" borderId="9" xfId="0" applyNumberFormat="1" applyBorder="1"/>
    <xf numFmtId="22" fontId="0" fillId="0" borderId="9" xfId="0" applyNumberFormat="1" applyBorder="1"/>
    <xf numFmtId="8" fontId="0" fillId="0" borderId="9" xfId="0" applyNumberFormat="1" applyBorder="1"/>
    <xf numFmtId="8" fontId="0" fillId="0" borderId="12" xfId="0" applyNumberFormat="1" applyBorder="1"/>
    <xf numFmtId="9" fontId="0" fillId="0" borderId="0" xfId="0" applyNumberFormat="1"/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5" borderId="8" xfId="0" applyFont="1" applyFill="1" applyBorder="1"/>
    <xf numFmtId="0" fontId="4" fillId="5" borderId="9" xfId="0" applyFont="1" applyFill="1" applyBorder="1"/>
    <xf numFmtId="0" fontId="0" fillId="0" borderId="8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1" fillId="5" borderId="7" xfId="0" applyFont="1" applyFill="1" applyBorder="1"/>
    <xf numFmtId="0" fontId="1" fillId="5" borderId="8" xfId="0" applyFont="1" applyFill="1" applyBorder="1"/>
    <xf numFmtId="0" fontId="1" fillId="5" borderId="9" xfId="0" applyFont="1" applyFill="1" applyBorder="1"/>
    <xf numFmtId="0" fontId="4" fillId="5" borderId="7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0" fillId="0" borderId="24" xfId="0" applyBorder="1"/>
    <xf numFmtId="2" fontId="1" fillId="0" borderId="8" xfId="0" applyNumberFormat="1" applyFont="1" applyBorder="1"/>
    <xf numFmtId="2" fontId="1" fillId="0" borderId="7" xfId="0" applyNumberFormat="1" applyFont="1" applyBorder="1"/>
    <xf numFmtId="0" fontId="1" fillId="0" borderId="8" xfId="0" applyFont="1" applyBorder="1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2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9" xfId="0" applyNumberFormat="1" applyFont="1" applyBorder="1" applyAlignment="1">
      <alignment horizontal="center" vertical="center"/>
    </xf>
    <xf numFmtId="8" fontId="1" fillId="0" borderId="9" xfId="0" applyNumberFormat="1" applyFont="1" applyBorder="1" applyAlignment="1">
      <alignment horizontal="center" vertical="center"/>
    </xf>
    <xf numFmtId="8" fontId="1" fillId="0" borderId="12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9" xfId="0" applyNumberFormat="1" applyFont="1" applyBorder="1"/>
    <xf numFmtId="0" fontId="1" fillId="6" borderId="7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2" fontId="1" fillId="0" borderId="11" xfId="0" applyNumberFormat="1" applyFont="1" applyBorder="1" applyAlignment="1">
      <alignment horizontal="center"/>
    </xf>
    <xf numFmtId="2" fontId="1" fillId="0" borderId="12" xfId="0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20" xfId="0" applyFont="1" applyFill="1" applyBorder="1" applyAlignment="1">
      <alignment horizontal="center"/>
    </xf>
    <xf numFmtId="0" fontId="2" fillId="4" borderId="21" xfId="0" applyFont="1" applyFill="1" applyBorder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" refreshedDate="46068.945250925928" createdVersion="8" refreshedVersion="8" minRefreshableVersion="3" recordCount="21" xr:uid="{D751B8A2-7F3C-4691-A7CD-D9CA8B9812B1}">
  <cacheSource type="worksheet">
    <worksheetSource ref="C5:G26" sheet="Sheet1"/>
  </cacheSource>
  <cacheFields count="5">
    <cacheField name="Date" numFmtId="0">
      <sharedItems containsNonDate="0" containsDate="1" containsString="0" containsBlank="1" minDate="2026-01-01T00:00:00" maxDate="2026-01-21T00:00:00"/>
    </cacheField>
    <cacheField name="Product" numFmtId="0">
      <sharedItems containsBlank="1"/>
    </cacheField>
    <cacheField name="Region" numFmtId="0">
      <sharedItems containsBlank="1" count="5">
        <m/>
        <s v="North"/>
        <s v="East"/>
        <s v="South"/>
        <s v="West"/>
      </sharedItems>
    </cacheField>
    <cacheField name="Sales Amount" numFmtId="0">
      <sharedItems containsString="0" containsBlank="1" containsNumber="1" containsInteger="1" minValue="1000" maxValue="55000"/>
    </cacheField>
    <cacheField name="Profit" numFmtId="0">
      <sharedItems containsString="0" containsBlank="1" containsNumber="1" containsInteger="1" minValue="250" maxValue="79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m/>
    <m/>
    <x v="0"/>
    <m/>
    <m/>
  </r>
  <r>
    <d v="2026-01-01T00:00:00"/>
    <s v="Laptop"/>
    <x v="1"/>
    <n v="55000"/>
    <n v="3500"/>
  </r>
  <r>
    <d v="2026-01-02T00:00:00"/>
    <s v="Powerbank"/>
    <x v="2"/>
    <n v="2000"/>
    <n v="500"/>
  </r>
  <r>
    <d v="2026-01-03T00:00:00"/>
    <s v="Mobile"/>
    <x v="3"/>
    <n v="31700"/>
    <n v="1700"/>
  </r>
  <r>
    <d v="2026-01-04T00:00:00"/>
    <s v="Watch"/>
    <x v="4"/>
    <n v="1570"/>
    <n v="420"/>
  </r>
  <r>
    <d v="2026-01-05T00:00:00"/>
    <s v="Tablet"/>
    <x v="1"/>
    <n v="28000"/>
    <n v="7920"/>
  </r>
  <r>
    <d v="2026-01-06T00:00:00"/>
    <s v="Headphones"/>
    <x v="2"/>
    <n v="2999"/>
    <n v="400"/>
  </r>
  <r>
    <d v="2026-01-07T00:00:00"/>
    <s v="TV"/>
    <x v="3"/>
    <n v="22490"/>
    <n v="6100"/>
  </r>
  <r>
    <d v="2026-01-08T00:00:00"/>
    <s v="Refrigerator"/>
    <x v="4"/>
    <n v="8550"/>
    <n v="2540"/>
  </r>
  <r>
    <d v="2026-01-09T00:00:00"/>
    <s v="Mobile"/>
    <x v="1"/>
    <n v="12999"/>
    <n v="2950"/>
  </r>
  <r>
    <d v="2026-01-10T00:00:00"/>
    <s v="Watch"/>
    <x v="2"/>
    <n v="4500"/>
    <n v="1200"/>
  </r>
  <r>
    <d v="2026-01-11T00:00:00"/>
    <s v="Tablet"/>
    <x v="3"/>
    <n v="15000"/>
    <n v="3200"/>
  </r>
  <r>
    <d v="2026-01-12T00:00:00"/>
    <s v="Headphones"/>
    <x v="4"/>
    <n v="1200"/>
    <n v="450"/>
  </r>
  <r>
    <d v="2026-01-13T00:00:00"/>
    <s v="TV"/>
    <x v="1"/>
    <n v="45000"/>
    <n v="6000"/>
  </r>
  <r>
    <d v="2026-01-14T00:00:00"/>
    <s v="Refrigerator"/>
    <x v="2"/>
    <n v="25000"/>
    <n v="3500"/>
  </r>
  <r>
    <d v="2026-01-15T00:00:00"/>
    <s v="Laptop"/>
    <x v="3"/>
    <n v="35000"/>
    <n v="6500"/>
  </r>
  <r>
    <d v="2026-01-16T00:00:00"/>
    <s v="Powerbank"/>
    <x v="4"/>
    <n v="3000"/>
    <n v="800"/>
  </r>
  <r>
    <d v="2026-01-17T00:00:00"/>
    <s v="Mobile"/>
    <x v="1"/>
    <n v="40000"/>
    <n v="6420"/>
  </r>
  <r>
    <d v="2026-01-18T00:00:00"/>
    <s v="Watch"/>
    <x v="2"/>
    <n v="2000"/>
    <n v="650"/>
  </r>
  <r>
    <d v="2026-01-19T00:00:00"/>
    <s v="Tablet"/>
    <x v="3"/>
    <n v="18000"/>
    <n v="3400"/>
  </r>
  <r>
    <d v="2026-01-20T00:00:00"/>
    <s v="Headphones"/>
    <x v="1"/>
    <n v="1000"/>
    <n v="2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C11E5E-947E-42E7-A040-7A8A0654BD3B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:T11" firstHeaderRow="1" firstDataRow="1" firstDataCol="1"/>
  <pivotFields count="5">
    <pivotField showAll="0"/>
    <pivotField showAll="0"/>
    <pivotField axis="axisRow" showAll="0">
      <items count="6">
        <item x="2"/>
        <item x="1"/>
        <item x="3"/>
        <item x="4"/>
        <item x="0"/>
        <item t="default"/>
      </items>
    </pivotField>
    <pivotField dataField="1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 Amoun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BF4F6-8262-45D8-86AC-4598F7386294}">
  <dimension ref="C2:T26"/>
  <sheetViews>
    <sheetView tabSelected="1" topLeftCell="I3" workbookViewId="0">
      <selection activeCell="L14" sqref="L14"/>
    </sheetView>
  </sheetViews>
  <sheetFormatPr defaultRowHeight="14.4" x14ac:dyDescent="0.3"/>
  <cols>
    <col min="3" max="3" width="10.44140625" customWidth="1"/>
    <col min="4" max="4" width="12.44140625" customWidth="1"/>
    <col min="5" max="5" width="9.88671875" customWidth="1"/>
    <col min="6" max="6" width="15.77734375" customWidth="1"/>
    <col min="7" max="7" width="11" customWidth="1"/>
    <col min="10" max="10" width="27.77734375" bestFit="1" customWidth="1"/>
    <col min="11" max="11" width="11" style="1" customWidth="1"/>
    <col min="13" max="13" width="17.33203125" bestFit="1" customWidth="1"/>
    <col min="14" max="14" width="15.6640625" style="1" bestFit="1" customWidth="1"/>
    <col min="15" max="15" width="17.33203125" bestFit="1" customWidth="1"/>
    <col min="19" max="19" width="12.5546875" bestFit="1" customWidth="1"/>
    <col min="20" max="20" width="19.21875" bestFit="1" customWidth="1"/>
  </cols>
  <sheetData>
    <row r="2" spans="3:20" ht="15" thickBot="1" x14ac:dyDescent="0.35"/>
    <row r="3" spans="3:20" ht="24" thickBot="1" x14ac:dyDescent="0.5">
      <c r="C3" s="65" t="s">
        <v>0</v>
      </c>
      <c r="D3" s="66"/>
      <c r="E3" s="66"/>
      <c r="F3" s="66"/>
      <c r="G3" s="67"/>
      <c r="J3" s="79" t="s">
        <v>18</v>
      </c>
      <c r="K3" s="80"/>
      <c r="L3" s="80"/>
      <c r="M3" s="80"/>
      <c r="N3" s="80"/>
      <c r="O3" s="80"/>
      <c r="P3" s="81"/>
      <c r="S3" t="s">
        <v>143</v>
      </c>
    </row>
    <row r="4" spans="3:20" ht="15" thickBot="1" x14ac:dyDescent="0.35">
      <c r="C4" s="72"/>
      <c r="D4" s="73"/>
      <c r="E4" s="73"/>
      <c r="F4" s="73"/>
      <c r="G4" s="74"/>
    </row>
    <row r="5" spans="3:20" ht="18.600000000000001" thickBot="1" x14ac:dyDescent="0.35">
      <c r="C5" s="20" t="s">
        <v>1</v>
      </c>
      <c r="D5" s="19" t="s">
        <v>2</v>
      </c>
      <c r="E5" s="19" t="s">
        <v>11</v>
      </c>
      <c r="F5" s="19" t="s">
        <v>16</v>
      </c>
      <c r="G5" s="21" t="s">
        <v>17</v>
      </c>
      <c r="J5" s="68" t="s">
        <v>19</v>
      </c>
      <c r="K5" s="69"/>
      <c r="M5" s="56" t="s">
        <v>31</v>
      </c>
      <c r="N5" s="58"/>
      <c r="S5" s="97" t="s">
        <v>144</v>
      </c>
      <c r="T5" t="s">
        <v>147</v>
      </c>
    </row>
    <row r="6" spans="3:20" x14ac:dyDescent="0.3">
      <c r="C6" s="75"/>
      <c r="D6" s="76"/>
      <c r="E6" s="76"/>
      <c r="F6" s="76"/>
      <c r="G6" s="77"/>
      <c r="J6" s="70"/>
      <c r="K6" s="71"/>
      <c r="M6" s="70"/>
      <c r="N6" s="71"/>
      <c r="S6" s="98" t="s">
        <v>13</v>
      </c>
      <c r="T6" s="99">
        <v>36499</v>
      </c>
    </row>
    <row r="7" spans="3:20" x14ac:dyDescent="0.3">
      <c r="C7" s="3">
        <v>46023</v>
      </c>
      <c r="D7" s="2" t="s">
        <v>3</v>
      </c>
      <c r="E7" s="2" t="s">
        <v>12</v>
      </c>
      <c r="F7" s="8">
        <v>55000</v>
      </c>
      <c r="G7" s="9">
        <v>3500</v>
      </c>
      <c r="J7" s="39" t="s">
        <v>20</v>
      </c>
      <c r="K7" s="40">
        <f>SUM(F7:F26)</f>
        <v>355008</v>
      </c>
      <c r="M7" s="39" t="s">
        <v>32</v>
      </c>
      <c r="N7" s="43">
        <f ca="1">TODAY()</f>
        <v>46068</v>
      </c>
      <c r="S7" s="98" t="s">
        <v>12</v>
      </c>
      <c r="T7" s="99">
        <v>181999</v>
      </c>
    </row>
    <row r="8" spans="3:20" x14ac:dyDescent="0.3">
      <c r="C8" s="3">
        <v>46024</v>
      </c>
      <c r="D8" s="2" t="s">
        <v>4</v>
      </c>
      <c r="E8" s="2" t="s">
        <v>13</v>
      </c>
      <c r="F8" s="8">
        <v>2000</v>
      </c>
      <c r="G8" s="9">
        <v>500</v>
      </c>
      <c r="J8" s="39" t="s">
        <v>21</v>
      </c>
      <c r="K8" s="40">
        <f>MIN(F7:F26)</f>
        <v>1000</v>
      </c>
      <c r="M8" s="39" t="s">
        <v>33</v>
      </c>
      <c r="N8" s="44">
        <f ca="1">NOW()</f>
        <v>46068.94534583333</v>
      </c>
      <c r="S8" s="98" t="s">
        <v>14</v>
      </c>
      <c r="T8" s="99">
        <v>122190</v>
      </c>
    </row>
    <row r="9" spans="3:20" ht="15" thickBot="1" x14ac:dyDescent="0.35">
      <c r="C9" s="3">
        <v>46025</v>
      </c>
      <c r="D9" s="2" t="s">
        <v>5</v>
      </c>
      <c r="E9" s="2" t="s">
        <v>14</v>
      </c>
      <c r="F9" s="8">
        <v>31700</v>
      </c>
      <c r="G9" s="9">
        <v>1700</v>
      </c>
      <c r="J9" s="39" t="s">
        <v>22</v>
      </c>
      <c r="K9" s="40">
        <f>MAX(F7:F26)</f>
        <v>55000</v>
      </c>
      <c r="M9" s="41" t="s">
        <v>42</v>
      </c>
      <c r="N9" s="42">
        <f>DATEDIF(C7,C26,"d")</f>
        <v>19</v>
      </c>
      <c r="S9" s="98" t="s">
        <v>15</v>
      </c>
      <c r="T9" s="99">
        <v>14320</v>
      </c>
    </row>
    <row r="10" spans="3:20" x14ac:dyDescent="0.3">
      <c r="C10" s="3">
        <v>46026</v>
      </c>
      <c r="D10" s="2" t="s">
        <v>6</v>
      </c>
      <c r="E10" s="2" t="s">
        <v>15</v>
      </c>
      <c r="F10" s="8">
        <v>1570</v>
      </c>
      <c r="G10" s="9">
        <v>420</v>
      </c>
      <c r="J10" s="39" t="s">
        <v>23</v>
      </c>
      <c r="K10" s="40">
        <f>COUNT(F7:F26)</f>
        <v>20</v>
      </c>
      <c r="S10" s="98" t="s">
        <v>146</v>
      </c>
      <c r="T10" s="99"/>
    </row>
    <row r="11" spans="3:20" ht="15" thickBot="1" x14ac:dyDescent="0.35">
      <c r="C11" s="3">
        <v>46027</v>
      </c>
      <c r="D11" s="2" t="s">
        <v>7</v>
      </c>
      <c r="E11" s="2" t="s">
        <v>12</v>
      </c>
      <c r="F11" s="8">
        <v>28000</v>
      </c>
      <c r="G11" s="9">
        <v>7920</v>
      </c>
      <c r="J11" s="39" t="s">
        <v>24</v>
      </c>
      <c r="K11" s="40">
        <f>SUM(G7:G26)</f>
        <v>58400</v>
      </c>
      <c r="S11" s="98" t="s">
        <v>145</v>
      </c>
      <c r="T11" s="99">
        <v>355008</v>
      </c>
    </row>
    <row r="12" spans="3:20" ht="16.2" thickBot="1" x14ac:dyDescent="0.35">
      <c r="C12" s="3">
        <v>46028</v>
      </c>
      <c r="D12" s="2" t="s">
        <v>8</v>
      </c>
      <c r="E12" s="2" t="s">
        <v>13</v>
      </c>
      <c r="F12" s="8">
        <v>2999</v>
      </c>
      <c r="G12" s="9">
        <v>400</v>
      </c>
      <c r="J12" s="41" t="s">
        <v>25</v>
      </c>
      <c r="K12" s="42">
        <f>AVERAGE(G7:G26)</f>
        <v>2920</v>
      </c>
      <c r="M12" s="56" t="s">
        <v>34</v>
      </c>
      <c r="N12" s="58"/>
    </row>
    <row r="13" spans="3:20" ht="15" thickBot="1" x14ac:dyDescent="0.35">
      <c r="C13" s="3">
        <v>46029</v>
      </c>
      <c r="D13" s="2" t="s">
        <v>9</v>
      </c>
      <c r="E13" s="2" t="s">
        <v>14</v>
      </c>
      <c r="F13" s="8">
        <v>22490</v>
      </c>
      <c r="G13" s="9">
        <v>6100</v>
      </c>
      <c r="M13" s="61"/>
      <c r="N13" s="62"/>
    </row>
    <row r="14" spans="3:20" ht="16.2" thickBot="1" x14ac:dyDescent="0.35">
      <c r="C14" s="3">
        <v>46030</v>
      </c>
      <c r="D14" s="2" t="s">
        <v>10</v>
      </c>
      <c r="E14" s="2" t="s">
        <v>15</v>
      </c>
      <c r="F14" s="8">
        <v>8550</v>
      </c>
      <c r="G14" s="9">
        <v>2540</v>
      </c>
      <c r="J14" s="56" t="s">
        <v>30</v>
      </c>
      <c r="K14" s="58"/>
      <c r="M14" s="39" t="s">
        <v>35</v>
      </c>
      <c r="N14" s="45">
        <f>PMT(0.05/12,60,55000)</f>
        <v>-1037.9178504206016</v>
      </c>
    </row>
    <row r="15" spans="3:20" ht="15" thickBot="1" x14ac:dyDescent="0.35">
      <c r="C15" s="3">
        <v>46031</v>
      </c>
      <c r="D15" s="2" t="s">
        <v>5</v>
      </c>
      <c r="E15" s="2" t="s">
        <v>12</v>
      </c>
      <c r="F15" s="8">
        <v>12999</v>
      </c>
      <c r="G15" s="9">
        <v>2950</v>
      </c>
      <c r="J15" s="61"/>
      <c r="K15" s="62"/>
      <c r="M15" s="41" t="s">
        <v>36</v>
      </c>
      <c r="N15" s="46">
        <f>NPV(0.1,G7:G26)</f>
        <v>23966.482482133768</v>
      </c>
    </row>
    <row r="16" spans="3:20" ht="15" thickBot="1" x14ac:dyDescent="0.35">
      <c r="C16" s="3">
        <v>46032</v>
      </c>
      <c r="D16" s="2" t="s">
        <v>6</v>
      </c>
      <c r="E16" s="2" t="s">
        <v>13</v>
      </c>
      <c r="F16" s="8">
        <v>4500</v>
      </c>
      <c r="G16" s="9">
        <v>1200</v>
      </c>
      <c r="J16" s="39" t="s">
        <v>28</v>
      </c>
      <c r="K16" s="40">
        <f>MAX(F7:F26)</f>
        <v>55000</v>
      </c>
    </row>
    <row r="17" spans="3:16" ht="16.2" thickBot="1" x14ac:dyDescent="0.35">
      <c r="C17" s="3">
        <v>46033</v>
      </c>
      <c r="D17" s="2" t="s">
        <v>7</v>
      </c>
      <c r="E17" s="2" t="s">
        <v>14</v>
      </c>
      <c r="F17" s="8">
        <v>15000</v>
      </c>
      <c r="G17" s="9">
        <v>3200</v>
      </c>
      <c r="J17" s="39" t="s">
        <v>26</v>
      </c>
      <c r="K17" s="40" t="b">
        <f>AND(F7&gt;50000,G7&gt;3000)</f>
        <v>1</v>
      </c>
      <c r="M17" s="56" t="s">
        <v>37</v>
      </c>
      <c r="N17" s="57"/>
      <c r="O17" s="57"/>
      <c r="P17" s="58"/>
    </row>
    <row r="18" spans="3:16" ht="15" thickBot="1" x14ac:dyDescent="0.35">
      <c r="C18" s="3">
        <v>46034</v>
      </c>
      <c r="D18" s="2" t="s">
        <v>8</v>
      </c>
      <c r="E18" s="2" t="s">
        <v>15</v>
      </c>
      <c r="F18" s="8">
        <v>1200</v>
      </c>
      <c r="G18" s="9">
        <v>450</v>
      </c>
      <c r="J18" s="41" t="s">
        <v>27</v>
      </c>
      <c r="K18" s="42" t="b">
        <f>OR(F7&gt;50000,G7&gt;3000)</f>
        <v>1</v>
      </c>
      <c r="M18" s="63"/>
      <c r="N18" s="64"/>
      <c r="P18" s="36"/>
    </row>
    <row r="19" spans="3:16" ht="15" thickBot="1" x14ac:dyDescent="0.35">
      <c r="C19" s="3">
        <v>46035</v>
      </c>
      <c r="D19" s="2" t="s">
        <v>9</v>
      </c>
      <c r="E19" s="2" t="s">
        <v>12</v>
      </c>
      <c r="F19" s="8">
        <v>45000</v>
      </c>
      <c r="G19" s="9">
        <v>6000</v>
      </c>
      <c r="M19" s="78" t="s">
        <v>141</v>
      </c>
      <c r="N19" s="49"/>
      <c r="O19" s="49" t="s">
        <v>142</v>
      </c>
      <c r="P19" s="50"/>
    </row>
    <row r="20" spans="3:16" ht="16.2" thickBot="1" x14ac:dyDescent="0.35">
      <c r="C20" s="3">
        <v>46036</v>
      </c>
      <c r="D20" s="2" t="s">
        <v>10</v>
      </c>
      <c r="E20" s="2" t="s">
        <v>13</v>
      </c>
      <c r="F20" s="8">
        <v>25000</v>
      </c>
      <c r="G20" s="9">
        <v>3500</v>
      </c>
      <c r="J20" s="56" t="s">
        <v>29</v>
      </c>
      <c r="K20" s="58"/>
      <c r="M20" s="59"/>
      <c r="N20" s="60"/>
      <c r="O20" s="51"/>
      <c r="P20" s="52"/>
    </row>
    <row r="21" spans="3:16" x14ac:dyDescent="0.3">
      <c r="C21" s="3">
        <v>46037</v>
      </c>
      <c r="D21" s="2" t="s">
        <v>3</v>
      </c>
      <c r="E21" s="2" t="s">
        <v>14</v>
      </c>
      <c r="F21" s="8">
        <v>35000</v>
      </c>
      <c r="G21" s="9">
        <v>6500</v>
      </c>
      <c r="J21" s="61"/>
      <c r="K21" s="62"/>
      <c r="M21" s="37" t="s">
        <v>137</v>
      </c>
      <c r="N21" s="47">
        <f>AVERAGE(F7:F26)</f>
        <v>17750.400000000001</v>
      </c>
      <c r="O21" s="38" t="s">
        <v>137</v>
      </c>
      <c r="P21" s="48">
        <f>AVERAGE(G7:G26)</f>
        <v>2920</v>
      </c>
    </row>
    <row r="22" spans="3:16" x14ac:dyDescent="0.3">
      <c r="C22" s="3">
        <v>46038</v>
      </c>
      <c r="D22" s="2" t="s">
        <v>4</v>
      </c>
      <c r="E22" s="2" t="s">
        <v>15</v>
      </c>
      <c r="F22" s="8">
        <v>3000</v>
      </c>
      <c r="G22" s="9">
        <v>800</v>
      </c>
      <c r="J22" s="39" t="s">
        <v>38</v>
      </c>
      <c r="K22" s="40" t="str">
        <f>LEFT(E9,3)</f>
        <v>Sou</v>
      </c>
      <c r="M22" s="37" t="s">
        <v>138</v>
      </c>
      <c r="N22" s="47">
        <f>MEDIAN(F7:F26)</f>
        <v>13999.5</v>
      </c>
      <c r="O22" s="38" t="s">
        <v>138</v>
      </c>
      <c r="P22" s="48">
        <f>MEDIAN(G7:G260)</f>
        <v>2745</v>
      </c>
    </row>
    <row r="23" spans="3:16" x14ac:dyDescent="0.3">
      <c r="C23" s="3">
        <v>46039</v>
      </c>
      <c r="D23" s="2" t="s">
        <v>5</v>
      </c>
      <c r="E23" s="2" t="s">
        <v>12</v>
      </c>
      <c r="F23" s="8">
        <v>40000</v>
      </c>
      <c r="G23" s="9">
        <v>6420</v>
      </c>
      <c r="J23" s="39" t="s">
        <v>39</v>
      </c>
      <c r="K23" s="40" t="str">
        <f>RIGHT(E11,2)</f>
        <v>th</v>
      </c>
      <c r="M23" s="37" t="s">
        <v>43</v>
      </c>
      <c r="N23" s="47">
        <f>MODE(F7:F26)</f>
        <v>2000</v>
      </c>
      <c r="O23" s="38" t="s">
        <v>43</v>
      </c>
      <c r="P23" s="48">
        <f>MODE(G7:G26)</f>
        <v>3500</v>
      </c>
    </row>
    <row r="24" spans="3:16" x14ac:dyDescent="0.3">
      <c r="C24" s="3">
        <v>46040</v>
      </c>
      <c r="D24" s="2" t="s">
        <v>6</v>
      </c>
      <c r="E24" s="2" t="s">
        <v>13</v>
      </c>
      <c r="F24" s="8">
        <v>2000</v>
      </c>
      <c r="G24" s="9">
        <v>650</v>
      </c>
      <c r="J24" s="39" t="s">
        <v>40</v>
      </c>
      <c r="K24" s="40" t="str">
        <f>MID(D12,2,3)</f>
        <v>ead</v>
      </c>
      <c r="M24" s="37" t="s">
        <v>139</v>
      </c>
      <c r="N24" s="47">
        <f>STDEV(F7:F26)</f>
        <v>16757.373080779133</v>
      </c>
      <c r="O24" s="38" t="s">
        <v>139</v>
      </c>
      <c r="P24" s="48">
        <f>STDEV(G7:G26)</f>
        <v>2476.9760851319879</v>
      </c>
    </row>
    <row r="25" spans="3:16" ht="15" thickBot="1" x14ac:dyDescent="0.35">
      <c r="C25" s="3">
        <v>46041</v>
      </c>
      <c r="D25" s="2" t="s">
        <v>7</v>
      </c>
      <c r="E25" s="2" t="s">
        <v>14</v>
      </c>
      <c r="F25" s="8">
        <v>18000</v>
      </c>
      <c r="G25" s="9">
        <v>3400</v>
      </c>
      <c r="J25" s="41" t="s">
        <v>41</v>
      </c>
      <c r="K25" s="42" t="str">
        <f>_xlfn.CONCAT(D24,E24)</f>
        <v>WatchEast</v>
      </c>
      <c r="M25" s="53" t="s">
        <v>140</v>
      </c>
      <c r="N25" s="54"/>
      <c r="O25" s="54">
        <f>CORREL(F7:F26,G7:G26)</f>
        <v>0.75132532914158301</v>
      </c>
      <c r="P25" s="55"/>
    </row>
    <row r="26" spans="3:16" ht="15" thickBot="1" x14ac:dyDescent="0.35">
      <c r="C26" s="5">
        <v>46042</v>
      </c>
      <c r="D26" s="6" t="s">
        <v>8</v>
      </c>
      <c r="E26" s="6" t="s">
        <v>12</v>
      </c>
      <c r="F26" s="10">
        <v>1000</v>
      </c>
      <c r="G26" s="11">
        <v>250</v>
      </c>
    </row>
  </sheetData>
  <mergeCells count="22">
    <mergeCell ref="J21:K21"/>
    <mergeCell ref="M18:N18"/>
    <mergeCell ref="C3:G3"/>
    <mergeCell ref="J5:K5"/>
    <mergeCell ref="J6:K6"/>
    <mergeCell ref="M5:N5"/>
    <mergeCell ref="M6:N6"/>
    <mergeCell ref="C4:G4"/>
    <mergeCell ref="C6:G6"/>
    <mergeCell ref="M19:N19"/>
    <mergeCell ref="J3:P3"/>
    <mergeCell ref="J14:K14"/>
    <mergeCell ref="J15:K15"/>
    <mergeCell ref="M13:N13"/>
    <mergeCell ref="M12:N12"/>
    <mergeCell ref="J20:K20"/>
    <mergeCell ref="O19:P19"/>
    <mergeCell ref="O20:P20"/>
    <mergeCell ref="M25:N25"/>
    <mergeCell ref="O25:P25"/>
    <mergeCell ref="M17:P17"/>
    <mergeCell ref="M20:N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68E4-7DE6-4EE0-A6B9-A9D733D7CCAE}">
  <dimension ref="B2:M26"/>
  <sheetViews>
    <sheetView topLeftCell="C1" zoomScale="94" zoomScaleNormal="94" workbookViewId="0">
      <selection activeCell="J16" sqref="J16"/>
    </sheetView>
  </sheetViews>
  <sheetFormatPr defaultRowHeight="14.4" x14ac:dyDescent="0.3"/>
  <cols>
    <col min="2" max="2" width="21" bestFit="1" customWidth="1"/>
    <col min="3" max="3" width="16.77734375" bestFit="1" customWidth="1"/>
    <col min="4" max="4" width="10.109375" customWidth="1"/>
    <col min="5" max="5" width="16.33203125" bestFit="1" customWidth="1"/>
    <col min="9" max="9" width="16.77734375" bestFit="1" customWidth="1"/>
    <col min="10" max="10" width="14.21875" customWidth="1"/>
    <col min="12" max="12" width="16.5546875" bestFit="1" customWidth="1"/>
    <col min="13" max="13" width="11.21875" customWidth="1"/>
  </cols>
  <sheetData>
    <row r="2" spans="2:13" ht="15" thickBot="1" x14ac:dyDescent="0.35"/>
    <row r="3" spans="2:13" ht="24" thickBot="1" x14ac:dyDescent="0.5">
      <c r="B3" s="82" t="s">
        <v>44</v>
      </c>
      <c r="C3" s="83"/>
      <c r="D3" s="83"/>
      <c r="E3" s="83"/>
      <c r="F3" s="84"/>
      <c r="I3" s="79" t="s">
        <v>18</v>
      </c>
      <c r="J3" s="80"/>
      <c r="K3" s="80"/>
      <c r="L3" s="80"/>
      <c r="M3" s="81"/>
    </row>
    <row r="4" spans="2:13" ht="15" thickBot="1" x14ac:dyDescent="0.35">
      <c r="B4" s="70"/>
      <c r="C4" s="85"/>
      <c r="D4" s="85"/>
      <c r="E4" s="85"/>
      <c r="F4" s="71"/>
    </row>
    <row r="5" spans="2:13" ht="16.2" thickBot="1" x14ac:dyDescent="0.35">
      <c r="B5" s="32" t="s">
        <v>45</v>
      </c>
      <c r="C5" s="32" t="s">
        <v>46</v>
      </c>
      <c r="D5" s="32" t="s">
        <v>47</v>
      </c>
      <c r="E5" s="32" t="s">
        <v>48</v>
      </c>
      <c r="F5" s="32" t="s">
        <v>17</v>
      </c>
      <c r="I5" s="68" t="s">
        <v>19</v>
      </c>
      <c r="J5" s="69"/>
      <c r="L5" s="56" t="s">
        <v>31</v>
      </c>
      <c r="M5" s="58"/>
    </row>
    <row r="6" spans="2:13" x14ac:dyDescent="0.3">
      <c r="B6" s="2"/>
      <c r="C6" s="2"/>
      <c r="D6" s="2"/>
      <c r="E6" s="2"/>
      <c r="F6" s="2"/>
      <c r="I6" s="70"/>
      <c r="J6" s="71"/>
      <c r="L6" s="70"/>
      <c r="M6" s="71"/>
    </row>
    <row r="7" spans="2:13" x14ac:dyDescent="0.3">
      <c r="B7" s="2" t="s">
        <v>49</v>
      </c>
      <c r="C7" s="8">
        <v>450</v>
      </c>
      <c r="D7" s="8">
        <v>1200</v>
      </c>
      <c r="E7" s="8">
        <v>4.2</v>
      </c>
      <c r="F7" s="2">
        <f>C7*E7</f>
        <v>1890</v>
      </c>
      <c r="I7" s="12" t="s">
        <v>20</v>
      </c>
      <c r="J7" s="4">
        <f>SUM(C7:C26)</f>
        <v>6335</v>
      </c>
      <c r="L7" s="12" t="s">
        <v>32</v>
      </c>
      <c r="M7" s="14"/>
    </row>
    <row r="8" spans="2:13" x14ac:dyDescent="0.3">
      <c r="B8" s="2" t="s">
        <v>50</v>
      </c>
      <c r="C8" s="8">
        <v>120</v>
      </c>
      <c r="D8" s="8">
        <v>2500</v>
      </c>
      <c r="E8" s="8">
        <v>3.5</v>
      </c>
      <c r="F8" s="2">
        <f t="shared" ref="F8:F26" si="0">C8*E8</f>
        <v>420</v>
      </c>
      <c r="I8" s="12" t="s">
        <v>21</v>
      </c>
      <c r="J8" s="4">
        <f>MIN(C7:C26)</f>
        <v>45</v>
      </c>
      <c r="L8" s="12" t="s">
        <v>33</v>
      </c>
      <c r="M8" s="15"/>
    </row>
    <row r="9" spans="2:13" ht="15" thickBot="1" x14ac:dyDescent="0.35">
      <c r="B9" s="2" t="s">
        <v>51</v>
      </c>
      <c r="C9" s="8">
        <v>85</v>
      </c>
      <c r="D9" s="8">
        <v>150</v>
      </c>
      <c r="E9" s="8">
        <v>8.5</v>
      </c>
      <c r="F9" s="2">
        <f t="shared" si="0"/>
        <v>722.5</v>
      </c>
      <c r="I9" s="12" t="s">
        <v>22</v>
      </c>
      <c r="J9" s="4">
        <f>MAX(C7:C26)</f>
        <v>1200</v>
      </c>
      <c r="L9" s="13" t="s">
        <v>42</v>
      </c>
      <c r="M9" s="7"/>
    </row>
    <row r="10" spans="2:13" x14ac:dyDescent="0.3">
      <c r="B10" s="2" t="s">
        <v>52</v>
      </c>
      <c r="C10" s="8">
        <v>310</v>
      </c>
      <c r="D10" s="8">
        <v>900</v>
      </c>
      <c r="E10" s="8">
        <v>3.8</v>
      </c>
      <c r="F10" s="2">
        <f t="shared" si="0"/>
        <v>1178</v>
      </c>
      <c r="I10" s="12" t="s">
        <v>23</v>
      </c>
      <c r="J10" s="4">
        <f>COUNT(C7:C26)</f>
        <v>20</v>
      </c>
    </row>
    <row r="11" spans="2:13" ht="15" thickBot="1" x14ac:dyDescent="0.35">
      <c r="B11" s="2" t="s">
        <v>53</v>
      </c>
      <c r="C11" s="8">
        <v>55</v>
      </c>
      <c r="D11" s="8">
        <v>1800</v>
      </c>
      <c r="E11" s="8">
        <v>1.5</v>
      </c>
      <c r="F11" s="2">
        <f t="shared" si="0"/>
        <v>82.5</v>
      </c>
      <c r="I11" s="12" t="s">
        <v>24</v>
      </c>
      <c r="J11" s="4">
        <f>SUMPRODUCT(C7:C26,E7:E26)/100</f>
        <v>262.7</v>
      </c>
    </row>
    <row r="12" spans="2:13" ht="16.2" thickBot="1" x14ac:dyDescent="0.35">
      <c r="B12" s="2" t="s">
        <v>54</v>
      </c>
      <c r="C12" s="8">
        <v>1200</v>
      </c>
      <c r="D12" s="8">
        <v>3000</v>
      </c>
      <c r="E12" s="8">
        <v>0.8</v>
      </c>
      <c r="F12" s="2">
        <f t="shared" si="0"/>
        <v>960</v>
      </c>
      <c r="I12" s="13" t="s">
        <v>25</v>
      </c>
      <c r="J12" s="7">
        <f>AVERAGE(C7:C26)</f>
        <v>316.75</v>
      </c>
      <c r="L12" s="56" t="s">
        <v>34</v>
      </c>
      <c r="M12" s="58"/>
    </row>
    <row r="13" spans="2:13" ht="15" thickBot="1" x14ac:dyDescent="0.35">
      <c r="B13" s="2" t="s">
        <v>55</v>
      </c>
      <c r="C13" s="8">
        <v>240</v>
      </c>
      <c r="D13" s="8">
        <v>600</v>
      </c>
      <c r="E13" s="8">
        <v>5.4</v>
      </c>
      <c r="F13" s="2">
        <f t="shared" si="0"/>
        <v>1296</v>
      </c>
      <c r="L13" s="61"/>
      <c r="M13" s="62"/>
    </row>
    <row r="14" spans="2:13" ht="16.2" thickBot="1" x14ac:dyDescent="0.35">
      <c r="B14" s="2" t="s">
        <v>56</v>
      </c>
      <c r="C14" s="8">
        <v>190</v>
      </c>
      <c r="D14" s="8">
        <v>2200</v>
      </c>
      <c r="E14" s="8">
        <v>2.9</v>
      </c>
      <c r="F14" s="2">
        <f t="shared" si="0"/>
        <v>551</v>
      </c>
      <c r="I14" s="56" t="s">
        <v>30</v>
      </c>
      <c r="J14" s="58"/>
      <c r="L14" s="12" t="s">
        <v>35</v>
      </c>
      <c r="M14" s="16"/>
    </row>
    <row r="15" spans="2:13" ht="15" thickBot="1" x14ac:dyDescent="0.35">
      <c r="B15" s="2" t="s">
        <v>57</v>
      </c>
      <c r="C15" s="8">
        <v>65</v>
      </c>
      <c r="D15" s="8">
        <v>300</v>
      </c>
      <c r="E15" s="8">
        <v>12</v>
      </c>
      <c r="F15" s="2">
        <f t="shared" si="0"/>
        <v>780</v>
      </c>
      <c r="I15" s="61"/>
      <c r="J15" s="62"/>
      <c r="L15" s="13" t="s">
        <v>36</v>
      </c>
      <c r="M15" s="17"/>
    </row>
    <row r="16" spans="2:13" ht="15" thickBot="1" x14ac:dyDescent="0.35">
      <c r="B16" s="2" t="s">
        <v>58</v>
      </c>
      <c r="C16" s="8">
        <v>580</v>
      </c>
      <c r="D16" s="8">
        <v>1100</v>
      </c>
      <c r="E16" s="8">
        <v>4.9000000000000004</v>
      </c>
      <c r="F16" s="2">
        <f t="shared" si="0"/>
        <v>2842</v>
      </c>
      <c r="I16" s="12" t="s">
        <v>28</v>
      </c>
      <c r="J16" s="4"/>
    </row>
    <row r="17" spans="2:13" ht="16.2" thickBot="1" x14ac:dyDescent="0.35">
      <c r="B17" s="2" t="s">
        <v>59</v>
      </c>
      <c r="C17" s="8">
        <v>95</v>
      </c>
      <c r="D17" s="8">
        <v>4500</v>
      </c>
      <c r="E17" s="8">
        <v>6.2</v>
      </c>
      <c r="F17" s="2">
        <f t="shared" si="0"/>
        <v>589</v>
      </c>
      <c r="I17" s="12" t="s">
        <v>26</v>
      </c>
      <c r="J17" s="4"/>
      <c r="L17" s="86" t="s">
        <v>37</v>
      </c>
      <c r="M17" s="87"/>
    </row>
    <row r="18" spans="2:13" ht="15" thickBot="1" x14ac:dyDescent="0.35">
      <c r="B18" s="2" t="s">
        <v>60</v>
      </c>
      <c r="C18" s="8">
        <v>410</v>
      </c>
      <c r="D18" s="8">
        <v>1500</v>
      </c>
      <c r="E18" s="8">
        <v>1.1000000000000001</v>
      </c>
      <c r="F18" s="2">
        <f t="shared" si="0"/>
        <v>451.00000000000006</v>
      </c>
      <c r="I18" s="13" t="s">
        <v>27</v>
      </c>
      <c r="J18" s="7"/>
      <c r="L18" s="72"/>
      <c r="M18" s="74"/>
    </row>
    <row r="19" spans="2:13" ht="15" thickBot="1" x14ac:dyDescent="0.35">
      <c r="B19" s="2" t="s">
        <v>61</v>
      </c>
      <c r="C19" s="8">
        <v>130</v>
      </c>
      <c r="D19" s="8">
        <v>500</v>
      </c>
      <c r="E19" s="8">
        <v>2.2999999999999998</v>
      </c>
      <c r="F19" s="2">
        <f t="shared" si="0"/>
        <v>299</v>
      </c>
      <c r="L19" s="12" t="s">
        <v>137</v>
      </c>
      <c r="M19" s="4"/>
    </row>
    <row r="20" spans="2:13" ht="16.2" thickBot="1" x14ac:dyDescent="0.35">
      <c r="B20" s="2" t="s">
        <v>62</v>
      </c>
      <c r="C20" s="8">
        <v>215</v>
      </c>
      <c r="D20" s="8">
        <v>800</v>
      </c>
      <c r="E20" s="8">
        <v>3.5</v>
      </c>
      <c r="F20" s="2">
        <f t="shared" si="0"/>
        <v>752.5</v>
      </c>
      <c r="I20" s="56" t="s">
        <v>29</v>
      </c>
      <c r="J20" s="58"/>
      <c r="L20" s="12" t="s">
        <v>138</v>
      </c>
      <c r="M20" s="4"/>
    </row>
    <row r="21" spans="2:13" x14ac:dyDescent="0.3">
      <c r="B21" s="2" t="s">
        <v>63</v>
      </c>
      <c r="C21" s="8">
        <v>45</v>
      </c>
      <c r="D21" s="8">
        <v>1400</v>
      </c>
      <c r="E21" s="8">
        <v>4</v>
      </c>
      <c r="F21" s="2">
        <f t="shared" si="0"/>
        <v>180</v>
      </c>
      <c r="I21" s="61"/>
      <c r="J21" s="62"/>
      <c r="L21" s="12" t="s">
        <v>43</v>
      </c>
      <c r="M21" s="4"/>
    </row>
    <row r="22" spans="2:13" x14ac:dyDescent="0.3">
      <c r="B22" s="2" t="s">
        <v>64</v>
      </c>
      <c r="C22" s="8">
        <v>320</v>
      </c>
      <c r="D22" s="8">
        <v>750</v>
      </c>
      <c r="E22" s="8">
        <v>7.2</v>
      </c>
      <c r="F22" s="2">
        <f t="shared" si="0"/>
        <v>2304</v>
      </c>
      <c r="I22" s="12" t="s">
        <v>38</v>
      </c>
      <c r="J22" s="4"/>
      <c r="L22" s="12" t="s">
        <v>139</v>
      </c>
      <c r="M22" s="4"/>
    </row>
    <row r="23" spans="2:13" ht="15" thickBot="1" x14ac:dyDescent="0.35">
      <c r="B23" s="2" t="s">
        <v>65</v>
      </c>
      <c r="C23" s="8">
        <v>110</v>
      </c>
      <c r="D23" s="8">
        <v>1600</v>
      </c>
      <c r="E23" s="8">
        <v>3.1</v>
      </c>
      <c r="F23" s="2">
        <f t="shared" si="0"/>
        <v>341</v>
      </c>
      <c r="I23" s="12" t="s">
        <v>39</v>
      </c>
      <c r="J23" s="4"/>
      <c r="L23" s="13" t="s">
        <v>140</v>
      </c>
      <c r="M23" s="7"/>
    </row>
    <row r="24" spans="2:13" x14ac:dyDescent="0.3">
      <c r="B24" s="2" t="s">
        <v>66</v>
      </c>
      <c r="C24" s="8">
        <v>890</v>
      </c>
      <c r="D24" s="8">
        <v>2100</v>
      </c>
      <c r="E24" s="8">
        <v>5.6</v>
      </c>
      <c r="F24" s="2">
        <f>C24*E24</f>
        <v>4984</v>
      </c>
      <c r="I24" s="12" t="s">
        <v>40</v>
      </c>
      <c r="J24" s="4"/>
    </row>
    <row r="25" spans="2:13" ht="15" thickBot="1" x14ac:dyDescent="0.35">
      <c r="B25" s="2" t="s">
        <v>67</v>
      </c>
      <c r="C25" s="8">
        <v>670</v>
      </c>
      <c r="D25" s="8">
        <v>1900</v>
      </c>
      <c r="E25" s="8">
        <v>6</v>
      </c>
      <c r="F25" s="2">
        <f t="shared" si="0"/>
        <v>4020</v>
      </c>
      <c r="I25" s="13" t="s">
        <v>41</v>
      </c>
      <c r="J25" s="7"/>
    </row>
    <row r="26" spans="2:13" x14ac:dyDescent="0.3">
      <c r="B26" s="2" t="s">
        <v>68</v>
      </c>
      <c r="C26" s="8">
        <v>155</v>
      </c>
      <c r="D26" s="8">
        <v>200</v>
      </c>
      <c r="E26" s="8">
        <v>10.5</v>
      </c>
      <c r="F26" s="2">
        <f t="shared" si="0"/>
        <v>1627.5</v>
      </c>
    </row>
  </sheetData>
  <mergeCells count="15">
    <mergeCell ref="I14:J14"/>
    <mergeCell ref="I15:J15"/>
    <mergeCell ref="I20:J20"/>
    <mergeCell ref="I21:J21"/>
    <mergeCell ref="L5:M5"/>
    <mergeCell ref="L6:M6"/>
    <mergeCell ref="L12:M12"/>
    <mergeCell ref="L13:M13"/>
    <mergeCell ref="L17:M17"/>
    <mergeCell ref="L18:M18"/>
    <mergeCell ref="I5:J5"/>
    <mergeCell ref="I6:J6"/>
    <mergeCell ref="I3:M3"/>
    <mergeCell ref="B3:F3"/>
    <mergeCell ref="B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1395E-10DF-485D-8FB4-8A730AD3CDF7}">
  <dimension ref="B2:L26"/>
  <sheetViews>
    <sheetView topLeftCell="A2" workbookViewId="0">
      <selection activeCell="G14" sqref="G14"/>
    </sheetView>
  </sheetViews>
  <sheetFormatPr defaultRowHeight="14.4" x14ac:dyDescent="0.3"/>
  <cols>
    <col min="2" max="2" width="11.44140625" customWidth="1"/>
    <col min="3" max="3" width="11.21875" customWidth="1"/>
    <col min="4" max="4" width="11.109375" customWidth="1"/>
    <col min="5" max="5" width="16.5546875" bestFit="1" customWidth="1"/>
    <col min="8" max="8" width="16.77734375" bestFit="1" customWidth="1"/>
    <col min="9" max="9" width="11.6640625" customWidth="1"/>
    <col min="11" max="11" width="16.5546875" bestFit="1" customWidth="1"/>
    <col min="12" max="12" width="12.33203125" customWidth="1"/>
  </cols>
  <sheetData>
    <row r="2" spans="2:12" ht="15" thickBot="1" x14ac:dyDescent="0.35">
      <c r="H2" s="18"/>
    </row>
    <row r="3" spans="2:12" ht="24" thickBot="1" x14ac:dyDescent="0.5">
      <c r="B3" s="88" t="s">
        <v>69</v>
      </c>
      <c r="C3" s="89"/>
      <c r="D3" s="89"/>
      <c r="E3" s="90"/>
      <c r="H3" s="79" t="s">
        <v>18</v>
      </c>
      <c r="I3" s="80"/>
      <c r="J3" s="80"/>
      <c r="K3" s="80"/>
      <c r="L3" s="81"/>
    </row>
    <row r="4" spans="2:12" ht="15" thickBot="1" x14ac:dyDescent="0.35">
      <c r="B4" s="70"/>
      <c r="C4" s="85"/>
      <c r="D4" s="85"/>
      <c r="E4" s="71"/>
    </row>
    <row r="5" spans="2:12" ht="16.2" thickBot="1" x14ac:dyDescent="0.35">
      <c r="B5" s="33" t="s">
        <v>70</v>
      </c>
      <c r="C5" s="34" t="s">
        <v>71</v>
      </c>
      <c r="D5" s="34" t="s">
        <v>17</v>
      </c>
      <c r="E5" s="35" t="s">
        <v>72</v>
      </c>
      <c r="H5" s="68" t="s">
        <v>19</v>
      </c>
      <c r="I5" s="69"/>
      <c r="K5" s="56" t="s">
        <v>31</v>
      </c>
      <c r="L5" s="58"/>
    </row>
    <row r="6" spans="2:12" x14ac:dyDescent="0.3">
      <c r="B6" s="12"/>
      <c r="C6" s="2"/>
      <c r="D6" s="2"/>
      <c r="E6" s="4"/>
      <c r="H6" s="70"/>
      <c r="I6" s="71"/>
      <c r="K6" s="70"/>
      <c r="L6" s="71"/>
    </row>
    <row r="7" spans="2:12" x14ac:dyDescent="0.3">
      <c r="B7" s="25">
        <v>45000</v>
      </c>
      <c r="C7" s="8">
        <v>32000</v>
      </c>
      <c r="D7" s="8">
        <v>13000</v>
      </c>
      <c r="E7" s="26">
        <v>0.05</v>
      </c>
      <c r="H7" s="12" t="s">
        <v>20</v>
      </c>
      <c r="I7" s="4"/>
      <c r="K7" s="12" t="s">
        <v>32</v>
      </c>
      <c r="L7" s="14"/>
    </row>
    <row r="8" spans="2:12" x14ac:dyDescent="0.3">
      <c r="B8" s="25">
        <v>52000</v>
      </c>
      <c r="C8" s="8">
        <v>35000</v>
      </c>
      <c r="D8" s="8">
        <v>17000</v>
      </c>
      <c r="E8" s="26">
        <v>0.02</v>
      </c>
      <c r="H8" s="12" t="s">
        <v>21</v>
      </c>
      <c r="I8" s="4"/>
      <c r="K8" s="12" t="s">
        <v>33</v>
      </c>
      <c r="L8" s="15"/>
    </row>
    <row r="9" spans="2:12" ht="15" thickBot="1" x14ac:dyDescent="0.35">
      <c r="B9" s="25">
        <v>48000</v>
      </c>
      <c r="C9" s="8">
        <v>49000</v>
      </c>
      <c r="D9" s="8">
        <v>-1000</v>
      </c>
      <c r="E9" s="26">
        <v>-0.08</v>
      </c>
      <c r="H9" s="12" t="s">
        <v>22</v>
      </c>
      <c r="I9" s="4"/>
      <c r="K9" s="13" t="s">
        <v>42</v>
      </c>
      <c r="L9" s="7"/>
    </row>
    <row r="10" spans="2:12" x14ac:dyDescent="0.3">
      <c r="B10" s="25">
        <v>61000</v>
      </c>
      <c r="C10" s="8">
        <v>42000</v>
      </c>
      <c r="D10" s="8">
        <v>19000</v>
      </c>
      <c r="E10" s="26">
        <v>0.12</v>
      </c>
      <c r="H10" s="12" t="s">
        <v>23</v>
      </c>
      <c r="I10" s="4"/>
    </row>
    <row r="11" spans="2:12" ht="15" thickBot="1" x14ac:dyDescent="0.35">
      <c r="B11" s="25">
        <v>55000</v>
      </c>
      <c r="C11" s="8">
        <v>38000</v>
      </c>
      <c r="D11" s="8">
        <v>17000</v>
      </c>
      <c r="E11" s="26">
        <v>0.01</v>
      </c>
      <c r="H11" s="12" t="s">
        <v>24</v>
      </c>
      <c r="I11" s="4"/>
    </row>
    <row r="12" spans="2:12" ht="16.2" thickBot="1" x14ac:dyDescent="0.35">
      <c r="B12" s="25">
        <v>42000</v>
      </c>
      <c r="C12" s="8">
        <v>40000</v>
      </c>
      <c r="D12" s="8">
        <v>2000</v>
      </c>
      <c r="E12" s="26">
        <v>-0.04</v>
      </c>
      <c r="H12" s="13" t="s">
        <v>25</v>
      </c>
      <c r="I12" s="7"/>
      <c r="K12" s="56" t="s">
        <v>34</v>
      </c>
      <c r="L12" s="58"/>
    </row>
    <row r="13" spans="2:12" ht="15" thickBot="1" x14ac:dyDescent="0.35">
      <c r="B13" s="25">
        <v>59000</v>
      </c>
      <c r="C13" s="8">
        <v>36000</v>
      </c>
      <c r="D13" s="8">
        <v>23000</v>
      </c>
      <c r="E13" s="26">
        <v>0.15</v>
      </c>
      <c r="K13" s="61"/>
      <c r="L13" s="62"/>
    </row>
    <row r="14" spans="2:12" ht="16.2" thickBot="1" x14ac:dyDescent="0.35">
      <c r="B14" s="25">
        <v>64000</v>
      </c>
      <c r="C14" s="8">
        <v>45000</v>
      </c>
      <c r="D14" s="8">
        <v>19000</v>
      </c>
      <c r="E14" s="26">
        <v>0.06</v>
      </c>
      <c r="H14" s="56" t="s">
        <v>30</v>
      </c>
      <c r="I14" s="58"/>
      <c r="K14" s="12" t="s">
        <v>35</v>
      </c>
      <c r="L14" s="16"/>
    </row>
    <row r="15" spans="2:12" ht="15" thickBot="1" x14ac:dyDescent="0.35">
      <c r="B15" s="25">
        <v>47000</v>
      </c>
      <c r="C15" s="8">
        <v>31000</v>
      </c>
      <c r="D15" s="8">
        <v>16000</v>
      </c>
      <c r="E15" s="26">
        <v>0.03</v>
      </c>
      <c r="H15" s="61"/>
      <c r="I15" s="62"/>
      <c r="K15" s="13" t="s">
        <v>36</v>
      </c>
      <c r="L15" s="17"/>
    </row>
    <row r="16" spans="2:12" ht="15" thickBot="1" x14ac:dyDescent="0.35">
      <c r="B16" s="25">
        <v>50000</v>
      </c>
      <c r="C16" s="8">
        <v>48000</v>
      </c>
      <c r="D16" s="8">
        <v>2000</v>
      </c>
      <c r="E16" s="26">
        <v>-0.1</v>
      </c>
      <c r="H16" s="12" t="s">
        <v>28</v>
      </c>
      <c r="I16" s="4"/>
    </row>
    <row r="17" spans="2:12" ht="16.2" thickBot="1" x14ac:dyDescent="0.35">
      <c r="B17" s="25">
        <v>72000</v>
      </c>
      <c r="C17" s="8">
        <v>51000</v>
      </c>
      <c r="D17" s="8">
        <v>21000</v>
      </c>
      <c r="E17" s="26">
        <v>0.18</v>
      </c>
      <c r="H17" s="12" t="s">
        <v>26</v>
      </c>
      <c r="I17" s="4"/>
      <c r="K17" s="86" t="s">
        <v>37</v>
      </c>
      <c r="L17" s="87"/>
    </row>
    <row r="18" spans="2:12" ht="15" thickBot="1" x14ac:dyDescent="0.35">
      <c r="B18" s="25">
        <v>53000</v>
      </c>
      <c r="C18" s="8">
        <v>39000</v>
      </c>
      <c r="D18" s="8">
        <v>14000</v>
      </c>
      <c r="E18" s="26">
        <v>-0.02</v>
      </c>
      <c r="H18" s="13" t="s">
        <v>27</v>
      </c>
      <c r="I18" s="7"/>
      <c r="K18" s="72"/>
      <c r="L18" s="74"/>
    </row>
    <row r="19" spans="2:12" ht="15" thickBot="1" x14ac:dyDescent="0.35">
      <c r="B19" s="25">
        <v>49000</v>
      </c>
      <c r="C19" s="8">
        <v>34000</v>
      </c>
      <c r="D19" s="8">
        <v>15000</v>
      </c>
      <c r="E19" s="26">
        <v>0.04</v>
      </c>
      <c r="K19" s="12" t="s">
        <v>137</v>
      </c>
      <c r="L19" s="4"/>
    </row>
    <row r="20" spans="2:12" ht="16.2" thickBot="1" x14ac:dyDescent="0.35">
      <c r="B20" s="25">
        <v>58000</v>
      </c>
      <c r="C20" s="8">
        <v>42000</v>
      </c>
      <c r="D20" s="8">
        <v>16000</v>
      </c>
      <c r="E20" s="26">
        <v>0</v>
      </c>
      <c r="H20" s="56" t="s">
        <v>29</v>
      </c>
      <c r="I20" s="58"/>
      <c r="K20" s="12" t="s">
        <v>138</v>
      </c>
      <c r="L20" s="4"/>
    </row>
    <row r="21" spans="2:12" x14ac:dyDescent="0.3">
      <c r="B21" s="25">
        <v>65000</v>
      </c>
      <c r="C21" s="8">
        <v>46000</v>
      </c>
      <c r="D21" s="8">
        <v>19000</v>
      </c>
      <c r="E21" s="26">
        <v>7.0000000000000007E-2</v>
      </c>
      <c r="H21" s="61"/>
      <c r="I21" s="62"/>
      <c r="K21" s="12" t="s">
        <v>43</v>
      </c>
      <c r="L21" s="4"/>
    </row>
    <row r="22" spans="2:12" x14ac:dyDescent="0.3">
      <c r="B22" s="25">
        <v>44000</v>
      </c>
      <c r="C22" s="8">
        <v>33000</v>
      </c>
      <c r="D22" s="8">
        <v>11000</v>
      </c>
      <c r="E22" s="26">
        <v>-0.03</v>
      </c>
      <c r="H22" s="12" t="s">
        <v>38</v>
      </c>
      <c r="I22" s="4"/>
      <c r="K22" s="12" t="s">
        <v>139</v>
      </c>
      <c r="L22" s="4"/>
    </row>
    <row r="23" spans="2:12" ht="15" thickBot="1" x14ac:dyDescent="0.35">
      <c r="B23" s="25">
        <v>51000</v>
      </c>
      <c r="C23" s="8">
        <v>37000</v>
      </c>
      <c r="D23" s="8">
        <v>14000</v>
      </c>
      <c r="E23" s="26">
        <v>0.02</v>
      </c>
      <c r="H23" s="12" t="s">
        <v>39</v>
      </c>
      <c r="I23" s="4"/>
      <c r="K23" s="13" t="s">
        <v>140</v>
      </c>
      <c r="L23" s="7"/>
    </row>
    <row r="24" spans="2:12" x14ac:dyDescent="0.3">
      <c r="B24" s="25">
        <v>68000</v>
      </c>
      <c r="C24" s="8">
        <v>50000</v>
      </c>
      <c r="D24" s="8">
        <v>18000</v>
      </c>
      <c r="E24" s="26">
        <v>0.09</v>
      </c>
      <c r="H24" s="12" t="s">
        <v>40</v>
      </c>
      <c r="I24" s="4"/>
    </row>
    <row r="25" spans="2:12" ht="15" thickBot="1" x14ac:dyDescent="0.35">
      <c r="B25" s="25">
        <v>60000</v>
      </c>
      <c r="C25" s="8">
        <v>43000</v>
      </c>
      <c r="D25" s="8">
        <v>17000</v>
      </c>
      <c r="E25" s="26">
        <v>0.05</v>
      </c>
      <c r="H25" s="13" t="s">
        <v>41</v>
      </c>
      <c r="I25" s="7"/>
    </row>
    <row r="26" spans="2:12" ht="15" thickBot="1" x14ac:dyDescent="0.35">
      <c r="B26" s="27">
        <v>54000</v>
      </c>
      <c r="C26" s="10">
        <v>35000</v>
      </c>
      <c r="D26" s="10">
        <v>19000</v>
      </c>
      <c r="E26" s="28">
        <v>0.11</v>
      </c>
    </row>
  </sheetData>
  <mergeCells count="15">
    <mergeCell ref="H20:I20"/>
    <mergeCell ref="H21:I21"/>
    <mergeCell ref="K12:L12"/>
    <mergeCell ref="K13:L13"/>
    <mergeCell ref="H14:I14"/>
    <mergeCell ref="H15:I15"/>
    <mergeCell ref="K17:L17"/>
    <mergeCell ref="K18:L18"/>
    <mergeCell ref="H6:I6"/>
    <mergeCell ref="K6:L6"/>
    <mergeCell ref="B3:E3"/>
    <mergeCell ref="B4:E4"/>
    <mergeCell ref="H3:L3"/>
    <mergeCell ref="H5:I5"/>
    <mergeCell ref="K5:L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F383-9DDD-4A04-A928-2887C8977404}">
  <dimension ref="B2:M26"/>
  <sheetViews>
    <sheetView topLeftCell="A2" workbookViewId="0">
      <selection activeCell="P16" sqref="P16"/>
    </sheetView>
  </sheetViews>
  <sheetFormatPr defaultRowHeight="14.4" x14ac:dyDescent="0.3"/>
  <cols>
    <col min="2" max="2" width="12.88671875" customWidth="1"/>
    <col min="3" max="3" width="13.109375" customWidth="1"/>
    <col min="4" max="4" width="10.33203125" customWidth="1"/>
    <col min="5" max="5" width="13.5546875" bestFit="1" customWidth="1"/>
    <col min="6" max="6" width="12" customWidth="1"/>
    <col min="9" max="9" width="18.44140625" customWidth="1"/>
    <col min="10" max="10" width="12" customWidth="1"/>
    <col min="12" max="12" width="17.6640625" customWidth="1"/>
    <col min="13" max="13" width="11" customWidth="1"/>
  </cols>
  <sheetData>
    <row r="2" spans="2:13" ht="15" thickBot="1" x14ac:dyDescent="0.35"/>
    <row r="3" spans="2:13" ht="24" thickBot="1" x14ac:dyDescent="0.5">
      <c r="B3" s="91" t="s">
        <v>73</v>
      </c>
      <c r="C3" s="92"/>
      <c r="D3" s="92"/>
      <c r="E3" s="92"/>
      <c r="F3" s="93"/>
      <c r="I3" s="79" t="s">
        <v>18</v>
      </c>
      <c r="J3" s="80"/>
      <c r="K3" s="80"/>
      <c r="L3" s="80"/>
      <c r="M3" s="81"/>
    </row>
    <row r="4" spans="2:13" ht="15" thickBot="1" x14ac:dyDescent="0.35">
      <c r="B4" s="75"/>
      <c r="C4" s="76"/>
      <c r="D4" s="76"/>
      <c r="E4" s="76"/>
      <c r="F4" s="77"/>
    </row>
    <row r="5" spans="2:13" ht="16.2" thickBot="1" x14ac:dyDescent="0.35">
      <c r="B5" s="23" t="s">
        <v>74</v>
      </c>
      <c r="C5" s="22" t="s">
        <v>75</v>
      </c>
      <c r="D5" s="22" t="s">
        <v>76</v>
      </c>
      <c r="E5" s="22" t="s">
        <v>77</v>
      </c>
      <c r="F5" s="24" t="s">
        <v>78</v>
      </c>
      <c r="I5" s="68" t="s">
        <v>19</v>
      </c>
      <c r="J5" s="69"/>
      <c r="L5" s="56" t="s">
        <v>31</v>
      </c>
      <c r="M5" s="58"/>
    </row>
    <row r="6" spans="2:13" x14ac:dyDescent="0.3">
      <c r="B6" s="12"/>
      <c r="C6" s="2"/>
      <c r="D6" s="2"/>
      <c r="E6" s="2"/>
      <c r="F6" s="4"/>
      <c r="I6" s="70"/>
      <c r="J6" s="71"/>
      <c r="L6" s="70"/>
      <c r="M6" s="71"/>
    </row>
    <row r="7" spans="2:13" x14ac:dyDescent="0.3">
      <c r="B7" s="12" t="s">
        <v>79</v>
      </c>
      <c r="C7" s="2" t="s">
        <v>81</v>
      </c>
      <c r="D7" s="8">
        <v>85000</v>
      </c>
      <c r="E7" s="8">
        <v>5</v>
      </c>
      <c r="F7" s="9" t="s">
        <v>88</v>
      </c>
      <c r="I7" s="12" t="s">
        <v>20</v>
      </c>
      <c r="J7" s="4"/>
      <c r="L7" s="12" t="s">
        <v>32</v>
      </c>
      <c r="M7" s="14"/>
    </row>
    <row r="8" spans="2:13" x14ac:dyDescent="0.3">
      <c r="B8" s="12" t="s">
        <v>80</v>
      </c>
      <c r="C8" s="2" t="s">
        <v>82</v>
      </c>
      <c r="D8" s="8">
        <v>62000</v>
      </c>
      <c r="E8" s="8">
        <v>3</v>
      </c>
      <c r="F8" s="9" t="s">
        <v>87</v>
      </c>
      <c r="I8" s="12" t="s">
        <v>21</v>
      </c>
      <c r="J8" s="4"/>
      <c r="L8" s="12" t="s">
        <v>33</v>
      </c>
      <c r="M8" s="15"/>
    </row>
    <row r="9" spans="2:13" ht="15" thickBot="1" x14ac:dyDescent="0.35">
      <c r="B9" s="12" t="s">
        <v>89</v>
      </c>
      <c r="C9" s="2" t="s">
        <v>85</v>
      </c>
      <c r="D9" s="8">
        <v>71000</v>
      </c>
      <c r="E9" s="8">
        <v>4</v>
      </c>
      <c r="F9" s="9" t="s">
        <v>88</v>
      </c>
      <c r="I9" s="12" t="s">
        <v>22</v>
      </c>
      <c r="J9" s="4"/>
      <c r="L9" s="13" t="s">
        <v>42</v>
      </c>
      <c r="M9" s="7"/>
    </row>
    <row r="10" spans="2:13" x14ac:dyDescent="0.3">
      <c r="B10" s="12" t="s">
        <v>90</v>
      </c>
      <c r="C10" s="2" t="s">
        <v>83</v>
      </c>
      <c r="D10" s="8">
        <v>92000</v>
      </c>
      <c r="E10" s="8">
        <v>8</v>
      </c>
      <c r="F10" s="9" t="s">
        <v>88</v>
      </c>
      <c r="I10" s="12" t="s">
        <v>23</v>
      </c>
      <c r="J10" s="4"/>
    </row>
    <row r="11" spans="2:13" ht="15" thickBot="1" x14ac:dyDescent="0.35">
      <c r="B11" s="12" t="s">
        <v>91</v>
      </c>
      <c r="C11" s="2" t="s">
        <v>84</v>
      </c>
      <c r="D11" s="8">
        <v>68000</v>
      </c>
      <c r="E11" s="8">
        <v>6</v>
      </c>
      <c r="F11" s="9" t="s">
        <v>88</v>
      </c>
      <c r="I11" s="12" t="s">
        <v>24</v>
      </c>
      <c r="J11" s="4"/>
    </row>
    <row r="12" spans="2:13" ht="16.2" thickBot="1" x14ac:dyDescent="0.35">
      <c r="B12" s="12" t="s">
        <v>92</v>
      </c>
      <c r="C12" s="2" t="s">
        <v>81</v>
      </c>
      <c r="D12" s="8">
        <v>105000</v>
      </c>
      <c r="E12" s="8">
        <v>12</v>
      </c>
      <c r="F12" s="9" t="s">
        <v>88</v>
      </c>
      <c r="I12" s="13" t="s">
        <v>25</v>
      </c>
      <c r="J12" s="7"/>
      <c r="L12" s="56" t="s">
        <v>34</v>
      </c>
      <c r="M12" s="58"/>
    </row>
    <row r="13" spans="2:13" ht="15" thickBot="1" x14ac:dyDescent="0.35">
      <c r="B13" s="12" t="s">
        <v>93</v>
      </c>
      <c r="C13" s="2" t="s">
        <v>82</v>
      </c>
      <c r="D13" s="8">
        <v>58000</v>
      </c>
      <c r="E13" s="8">
        <v>2</v>
      </c>
      <c r="F13" s="9" t="s">
        <v>87</v>
      </c>
      <c r="L13" s="61"/>
      <c r="M13" s="62"/>
    </row>
    <row r="14" spans="2:13" ht="16.2" thickBot="1" x14ac:dyDescent="0.35">
      <c r="B14" s="12" t="s">
        <v>94</v>
      </c>
      <c r="C14" s="2" t="s">
        <v>86</v>
      </c>
      <c r="D14" s="8">
        <v>74000</v>
      </c>
      <c r="E14" s="8">
        <v>5</v>
      </c>
      <c r="F14" s="9" t="s">
        <v>88</v>
      </c>
      <c r="I14" s="56" t="s">
        <v>30</v>
      </c>
      <c r="J14" s="58"/>
      <c r="L14" s="12" t="s">
        <v>35</v>
      </c>
      <c r="M14" s="16"/>
    </row>
    <row r="15" spans="2:13" ht="15" thickBot="1" x14ac:dyDescent="0.35">
      <c r="B15" s="12" t="s">
        <v>95</v>
      </c>
      <c r="C15" s="2" t="s">
        <v>85</v>
      </c>
      <c r="D15" s="8">
        <v>69000</v>
      </c>
      <c r="E15" s="8">
        <v>3</v>
      </c>
      <c r="F15" s="9" t="s">
        <v>88</v>
      </c>
      <c r="I15" s="61"/>
      <c r="J15" s="62"/>
      <c r="L15" s="13" t="s">
        <v>36</v>
      </c>
      <c r="M15" s="17"/>
    </row>
    <row r="16" spans="2:13" ht="15" thickBot="1" x14ac:dyDescent="0.35">
      <c r="B16" s="12" t="s">
        <v>96</v>
      </c>
      <c r="C16" s="2" t="s">
        <v>81</v>
      </c>
      <c r="D16" s="8">
        <v>88000</v>
      </c>
      <c r="E16" s="8">
        <v>7</v>
      </c>
      <c r="F16" s="9" t="s">
        <v>88</v>
      </c>
      <c r="I16" s="12" t="s">
        <v>28</v>
      </c>
      <c r="J16" s="4"/>
    </row>
    <row r="17" spans="2:13" ht="16.2" thickBot="1" x14ac:dyDescent="0.35">
      <c r="B17" s="12" t="s">
        <v>97</v>
      </c>
      <c r="C17" s="2" t="s">
        <v>83</v>
      </c>
      <c r="D17" s="8">
        <v>115000</v>
      </c>
      <c r="E17" s="8">
        <v>15</v>
      </c>
      <c r="F17" s="9" t="s">
        <v>88</v>
      </c>
      <c r="I17" s="12" t="s">
        <v>26</v>
      </c>
      <c r="J17" s="4"/>
      <c r="L17" s="86" t="s">
        <v>37</v>
      </c>
      <c r="M17" s="87"/>
    </row>
    <row r="18" spans="2:13" ht="15" thickBot="1" x14ac:dyDescent="0.35">
      <c r="B18" s="12" t="s">
        <v>98</v>
      </c>
      <c r="C18" s="2" t="s">
        <v>84</v>
      </c>
      <c r="D18" s="8">
        <v>61000</v>
      </c>
      <c r="E18" s="8">
        <v>2</v>
      </c>
      <c r="F18" s="9" t="s">
        <v>87</v>
      </c>
      <c r="I18" s="13" t="s">
        <v>27</v>
      </c>
      <c r="J18" s="7"/>
      <c r="L18" s="72"/>
      <c r="M18" s="74"/>
    </row>
    <row r="19" spans="2:13" ht="15" thickBot="1" x14ac:dyDescent="0.35">
      <c r="B19" s="12" t="s">
        <v>99</v>
      </c>
      <c r="C19" s="2" t="s">
        <v>82</v>
      </c>
      <c r="D19" s="8">
        <v>64000</v>
      </c>
      <c r="E19" s="8">
        <v>4</v>
      </c>
      <c r="F19" s="9" t="s">
        <v>88</v>
      </c>
      <c r="L19" s="12" t="s">
        <v>137</v>
      </c>
      <c r="M19" s="4"/>
    </row>
    <row r="20" spans="2:13" ht="16.2" thickBot="1" x14ac:dyDescent="0.35">
      <c r="B20" s="12" t="s">
        <v>100</v>
      </c>
      <c r="C20" s="2" t="s">
        <v>86</v>
      </c>
      <c r="D20" s="8">
        <v>82000</v>
      </c>
      <c r="E20" s="8">
        <v>9</v>
      </c>
      <c r="F20" s="9" t="s">
        <v>88</v>
      </c>
      <c r="I20" s="56" t="s">
        <v>29</v>
      </c>
      <c r="J20" s="58"/>
      <c r="L20" s="12" t="s">
        <v>138</v>
      </c>
      <c r="M20" s="4"/>
    </row>
    <row r="21" spans="2:13" x14ac:dyDescent="0.3">
      <c r="B21" s="12" t="s">
        <v>101</v>
      </c>
      <c r="C21" s="2" t="s">
        <v>81</v>
      </c>
      <c r="D21" s="8">
        <v>95000</v>
      </c>
      <c r="E21" s="8">
        <v>10</v>
      </c>
      <c r="F21" s="9" t="s">
        <v>88</v>
      </c>
      <c r="I21" s="61"/>
      <c r="J21" s="62"/>
      <c r="L21" s="12" t="s">
        <v>43</v>
      </c>
      <c r="M21" s="4"/>
    </row>
    <row r="22" spans="2:13" x14ac:dyDescent="0.3">
      <c r="B22" s="12" t="s">
        <v>102</v>
      </c>
      <c r="C22" s="2" t="s">
        <v>85</v>
      </c>
      <c r="D22" s="8">
        <v>73000</v>
      </c>
      <c r="E22" s="8">
        <v>5</v>
      </c>
      <c r="F22" s="9" t="s">
        <v>87</v>
      </c>
      <c r="I22" s="12" t="s">
        <v>38</v>
      </c>
      <c r="J22" s="4"/>
      <c r="L22" s="12" t="s">
        <v>139</v>
      </c>
      <c r="M22" s="4"/>
    </row>
    <row r="23" spans="2:13" ht="15" thickBot="1" x14ac:dyDescent="0.35">
      <c r="B23" s="12" t="s">
        <v>103</v>
      </c>
      <c r="C23" s="2" t="s">
        <v>83</v>
      </c>
      <c r="D23" s="8">
        <v>89000</v>
      </c>
      <c r="E23" s="8">
        <v>7</v>
      </c>
      <c r="F23" s="9" t="s">
        <v>88</v>
      </c>
      <c r="I23" s="12" t="s">
        <v>39</v>
      </c>
      <c r="J23" s="4"/>
      <c r="L23" s="13" t="s">
        <v>140</v>
      </c>
      <c r="M23" s="7"/>
    </row>
    <row r="24" spans="2:13" x14ac:dyDescent="0.3">
      <c r="B24" s="12" t="s">
        <v>104</v>
      </c>
      <c r="C24" s="2" t="s">
        <v>84</v>
      </c>
      <c r="D24" s="8">
        <v>77000</v>
      </c>
      <c r="E24" s="8">
        <v>8</v>
      </c>
      <c r="F24" s="9" t="s">
        <v>88</v>
      </c>
      <c r="I24" s="12" t="s">
        <v>40</v>
      </c>
      <c r="J24" s="4"/>
    </row>
    <row r="25" spans="2:13" ht="15" thickBot="1" x14ac:dyDescent="0.35">
      <c r="B25" s="12" t="s">
        <v>105</v>
      </c>
      <c r="C25" s="2" t="s">
        <v>81</v>
      </c>
      <c r="D25" s="8">
        <v>120000</v>
      </c>
      <c r="E25" s="8">
        <v>14</v>
      </c>
      <c r="F25" s="9" t="s">
        <v>88</v>
      </c>
      <c r="I25" s="13" t="s">
        <v>41</v>
      </c>
      <c r="J25" s="7"/>
    </row>
    <row r="26" spans="2:13" ht="15" thickBot="1" x14ac:dyDescent="0.35">
      <c r="B26" s="13" t="s">
        <v>106</v>
      </c>
      <c r="C26" s="6" t="s">
        <v>82</v>
      </c>
      <c r="D26" s="10">
        <v>55000</v>
      </c>
      <c r="E26" s="10">
        <v>1</v>
      </c>
      <c r="F26" s="11" t="s">
        <v>88</v>
      </c>
    </row>
  </sheetData>
  <mergeCells count="15">
    <mergeCell ref="I20:J20"/>
    <mergeCell ref="I21:J21"/>
    <mergeCell ref="L12:M12"/>
    <mergeCell ref="L13:M13"/>
    <mergeCell ref="I14:J14"/>
    <mergeCell ref="I15:J15"/>
    <mergeCell ref="L17:M17"/>
    <mergeCell ref="L18:M18"/>
    <mergeCell ref="I6:J6"/>
    <mergeCell ref="L6:M6"/>
    <mergeCell ref="B3:F3"/>
    <mergeCell ref="B4:F4"/>
    <mergeCell ref="I3:M3"/>
    <mergeCell ref="I5:J5"/>
    <mergeCell ref="L5:M5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9BE29-D9DA-4066-9EA0-C51B7E17BA16}">
  <dimension ref="B2:M26"/>
  <sheetViews>
    <sheetView workbookViewId="0">
      <selection activeCell="P5" sqref="P5"/>
    </sheetView>
  </sheetViews>
  <sheetFormatPr defaultRowHeight="14.4" x14ac:dyDescent="0.3"/>
  <cols>
    <col min="2" max="2" width="13.44140625" bestFit="1" customWidth="1"/>
    <col min="3" max="3" width="12.33203125" bestFit="1" customWidth="1"/>
    <col min="4" max="4" width="11.109375" customWidth="1"/>
    <col min="5" max="5" width="13.109375" bestFit="1" customWidth="1"/>
    <col min="6" max="6" width="11.33203125" customWidth="1"/>
    <col min="9" max="9" width="20.88671875" customWidth="1"/>
    <col min="10" max="10" width="12.88671875" customWidth="1"/>
    <col min="12" max="12" width="16.5546875" bestFit="1" customWidth="1"/>
    <col min="13" max="13" width="11" customWidth="1"/>
  </cols>
  <sheetData>
    <row r="2" spans="2:13" ht="15" thickBot="1" x14ac:dyDescent="0.35"/>
    <row r="3" spans="2:13" ht="24" thickBot="1" x14ac:dyDescent="0.5">
      <c r="B3" s="94" t="s">
        <v>107</v>
      </c>
      <c r="C3" s="95"/>
      <c r="D3" s="95"/>
      <c r="E3" s="95"/>
      <c r="F3" s="96"/>
      <c r="I3" s="79" t="s">
        <v>18</v>
      </c>
      <c r="J3" s="80"/>
      <c r="K3" s="80"/>
      <c r="L3" s="80"/>
      <c r="M3" s="81"/>
    </row>
    <row r="4" spans="2:13" ht="15" thickBot="1" x14ac:dyDescent="0.35">
      <c r="B4" s="75"/>
      <c r="C4" s="76"/>
      <c r="D4" s="76"/>
      <c r="E4" s="76"/>
      <c r="F4" s="77"/>
    </row>
    <row r="5" spans="2:13" ht="16.2" thickBot="1" x14ac:dyDescent="0.35">
      <c r="B5" s="30" t="s">
        <v>108</v>
      </c>
      <c r="C5" s="29" t="s">
        <v>129</v>
      </c>
      <c r="D5" s="29" t="s">
        <v>130</v>
      </c>
      <c r="E5" s="29" t="s">
        <v>131</v>
      </c>
      <c r="F5" s="31" t="s">
        <v>132</v>
      </c>
      <c r="I5" s="68" t="s">
        <v>19</v>
      </c>
      <c r="J5" s="69"/>
      <c r="L5" s="56" t="s">
        <v>31</v>
      </c>
      <c r="M5" s="58"/>
    </row>
    <row r="6" spans="2:13" x14ac:dyDescent="0.3">
      <c r="B6" s="12"/>
      <c r="C6" s="2"/>
      <c r="D6" s="2"/>
      <c r="E6" s="2"/>
      <c r="F6" s="4"/>
      <c r="I6" s="70"/>
      <c r="J6" s="71"/>
      <c r="L6" s="70"/>
      <c r="M6" s="71"/>
    </row>
    <row r="7" spans="2:13" x14ac:dyDescent="0.3">
      <c r="B7" s="12" t="s">
        <v>109</v>
      </c>
      <c r="C7" s="8">
        <v>34</v>
      </c>
      <c r="D7" s="8">
        <v>1200</v>
      </c>
      <c r="E7" s="8">
        <v>0</v>
      </c>
      <c r="F7" s="9" t="s">
        <v>133</v>
      </c>
      <c r="I7" s="12" t="s">
        <v>20</v>
      </c>
      <c r="J7" s="4"/>
      <c r="L7" s="12" t="s">
        <v>32</v>
      </c>
      <c r="M7" s="14"/>
    </row>
    <row r="8" spans="2:13" x14ac:dyDescent="0.3">
      <c r="B8" s="12" t="s">
        <v>110</v>
      </c>
      <c r="C8" s="8">
        <v>45</v>
      </c>
      <c r="D8" s="8">
        <v>2500</v>
      </c>
      <c r="E8" s="8">
        <v>4500</v>
      </c>
      <c r="F8" s="9" t="s">
        <v>134</v>
      </c>
      <c r="I8" s="12" t="s">
        <v>21</v>
      </c>
      <c r="J8" s="4"/>
      <c r="L8" s="12" t="s">
        <v>33</v>
      </c>
      <c r="M8" s="15"/>
    </row>
    <row r="9" spans="2:13" ht="15" thickBot="1" x14ac:dyDescent="0.35">
      <c r="B9" s="12" t="s">
        <v>111</v>
      </c>
      <c r="C9" s="8">
        <v>28</v>
      </c>
      <c r="D9" s="8">
        <v>800</v>
      </c>
      <c r="E9" s="8">
        <v>1200</v>
      </c>
      <c r="F9" s="9" t="s">
        <v>135</v>
      </c>
      <c r="I9" s="12" t="s">
        <v>22</v>
      </c>
      <c r="J9" s="4"/>
      <c r="L9" s="13" t="s">
        <v>42</v>
      </c>
      <c r="M9" s="7"/>
    </row>
    <row r="10" spans="2:13" x14ac:dyDescent="0.3">
      <c r="B10" s="12" t="s">
        <v>112</v>
      </c>
      <c r="C10" s="8">
        <v>62</v>
      </c>
      <c r="D10" s="8">
        <v>3200</v>
      </c>
      <c r="E10" s="8">
        <v>0</v>
      </c>
      <c r="F10" s="9" t="s">
        <v>136</v>
      </c>
      <c r="I10" s="12" t="s">
        <v>23</v>
      </c>
      <c r="J10" s="4"/>
    </row>
    <row r="11" spans="2:13" ht="15" thickBot="1" x14ac:dyDescent="0.35">
      <c r="B11" s="12" t="s">
        <v>113</v>
      </c>
      <c r="C11" s="8">
        <v>51</v>
      </c>
      <c r="D11" s="8">
        <v>1500</v>
      </c>
      <c r="E11" s="8">
        <v>800</v>
      </c>
      <c r="F11" s="9" t="s">
        <v>133</v>
      </c>
      <c r="I11" s="12" t="s">
        <v>24</v>
      </c>
      <c r="J11" s="4"/>
    </row>
    <row r="12" spans="2:13" ht="16.2" thickBot="1" x14ac:dyDescent="0.35">
      <c r="B12" s="12" t="s">
        <v>114</v>
      </c>
      <c r="C12" s="8">
        <v>39</v>
      </c>
      <c r="D12" s="8">
        <v>2100</v>
      </c>
      <c r="E12" s="8">
        <v>0</v>
      </c>
      <c r="F12" s="9" t="s">
        <v>134</v>
      </c>
      <c r="I12" s="13" t="s">
        <v>25</v>
      </c>
      <c r="J12" s="7"/>
      <c r="L12" s="56" t="s">
        <v>34</v>
      </c>
      <c r="M12" s="58"/>
    </row>
    <row r="13" spans="2:13" ht="15" thickBot="1" x14ac:dyDescent="0.35">
      <c r="B13" s="12" t="s">
        <v>115</v>
      </c>
      <c r="C13" s="8">
        <v>23</v>
      </c>
      <c r="D13" s="8">
        <v>950</v>
      </c>
      <c r="E13" s="8">
        <v>300</v>
      </c>
      <c r="F13" s="9" t="s">
        <v>135</v>
      </c>
      <c r="L13" s="61"/>
      <c r="M13" s="62"/>
    </row>
    <row r="14" spans="2:13" ht="16.2" thickBot="1" x14ac:dyDescent="0.35">
      <c r="B14" s="12" t="s">
        <v>116</v>
      </c>
      <c r="C14" s="8">
        <v>48</v>
      </c>
      <c r="D14" s="8">
        <v>1800</v>
      </c>
      <c r="E14" s="8">
        <v>15000</v>
      </c>
      <c r="F14" s="9" t="s">
        <v>136</v>
      </c>
      <c r="I14" s="56" t="s">
        <v>30</v>
      </c>
      <c r="J14" s="58"/>
      <c r="L14" s="12" t="s">
        <v>35</v>
      </c>
      <c r="M14" s="16"/>
    </row>
    <row r="15" spans="2:13" ht="15" thickBot="1" x14ac:dyDescent="0.35">
      <c r="B15" s="12" t="s">
        <v>117</v>
      </c>
      <c r="C15" s="8">
        <v>31</v>
      </c>
      <c r="D15" s="8">
        <v>1100</v>
      </c>
      <c r="E15" s="8">
        <v>0</v>
      </c>
      <c r="F15" s="9" t="s">
        <v>133</v>
      </c>
      <c r="I15" s="61"/>
      <c r="J15" s="62"/>
      <c r="L15" s="13" t="s">
        <v>36</v>
      </c>
      <c r="M15" s="17"/>
    </row>
    <row r="16" spans="2:13" ht="15" thickBot="1" x14ac:dyDescent="0.35">
      <c r="B16" s="12" t="s">
        <v>118</v>
      </c>
      <c r="C16" s="8">
        <v>55</v>
      </c>
      <c r="D16" s="8">
        <v>2800</v>
      </c>
      <c r="E16" s="8">
        <v>1200</v>
      </c>
      <c r="F16" s="9" t="s">
        <v>134</v>
      </c>
      <c r="I16" s="12" t="s">
        <v>28</v>
      </c>
      <c r="J16" s="4"/>
    </row>
    <row r="17" spans="2:13" ht="16.2" thickBot="1" x14ac:dyDescent="0.35">
      <c r="B17" s="12" t="s">
        <v>119</v>
      </c>
      <c r="C17" s="8">
        <v>29</v>
      </c>
      <c r="D17" s="8">
        <v>850</v>
      </c>
      <c r="E17" s="8">
        <v>0</v>
      </c>
      <c r="F17" s="9" t="s">
        <v>135</v>
      </c>
      <c r="I17" s="12" t="s">
        <v>26</v>
      </c>
      <c r="J17" s="4"/>
      <c r="L17" s="86" t="s">
        <v>37</v>
      </c>
      <c r="M17" s="87"/>
    </row>
    <row r="18" spans="2:13" ht="15" thickBot="1" x14ac:dyDescent="0.35">
      <c r="B18" s="12" t="s">
        <v>120</v>
      </c>
      <c r="C18" s="8">
        <v>42</v>
      </c>
      <c r="D18" s="8">
        <v>1400</v>
      </c>
      <c r="E18" s="8">
        <v>250</v>
      </c>
      <c r="F18" s="9" t="s">
        <v>133</v>
      </c>
      <c r="I18" s="13" t="s">
        <v>27</v>
      </c>
      <c r="J18" s="7"/>
      <c r="L18" s="72"/>
      <c r="M18" s="74"/>
    </row>
    <row r="19" spans="2:13" ht="15" thickBot="1" x14ac:dyDescent="0.35">
      <c r="B19" s="12" t="s">
        <v>121</v>
      </c>
      <c r="C19" s="8">
        <v>37</v>
      </c>
      <c r="D19" s="8">
        <v>2300</v>
      </c>
      <c r="E19" s="8">
        <v>0</v>
      </c>
      <c r="F19" s="9" t="s">
        <v>134</v>
      </c>
      <c r="L19" s="12" t="s">
        <v>137</v>
      </c>
      <c r="M19" s="4"/>
    </row>
    <row r="20" spans="2:13" ht="16.2" thickBot="1" x14ac:dyDescent="0.35">
      <c r="B20" s="12" t="s">
        <v>122</v>
      </c>
      <c r="C20" s="8">
        <v>60</v>
      </c>
      <c r="D20" s="8">
        <v>4000</v>
      </c>
      <c r="E20" s="8">
        <v>0</v>
      </c>
      <c r="F20" s="9" t="s">
        <v>136</v>
      </c>
      <c r="I20" s="56" t="s">
        <v>29</v>
      </c>
      <c r="J20" s="58"/>
      <c r="L20" s="12" t="s">
        <v>138</v>
      </c>
      <c r="M20" s="4"/>
    </row>
    <row r="21" spans="2:13" x14ac:dyDescent="0.3">
      <c r="B21" s="12" t="s">
        <v>123</v>
      </c>
      <c r="C21" s="8">
        <v>25</v>
      </c>
      <c r="D21" s="8">
        <v>1000</v>
      </c>
      <c r="E21" s="8">
        <v>5000</v>
      </c>
      <c r="F21" s="9" t="s">
        <v>135</v>
      </c>
      <c r="I21" s="61"/>
      <c r="J21" s="62"/>
      <c r="L21" s="12" t="s">
        <v>43</v>
      </c>
      <c r="M21" s="4"/>
    </row>
    <row r="22" spans="2:13" x14ac:dyDescent="0.3">
      <c r="B22" s="12" t="s">
        <v>124</v>
      </c>
      <c r="C22" s="8">
        <v>53</v>
      </c>
      <c r="D22" s="8">
        <v>1600</v>
      </c>
      <c r="E22" s="8">
        <v>0</v>
      </c>
      <c r="F22" s="9" t="s">
        <v>133</v>
      </c>
      <c r="I22" s="12" t="s">
        <v>38</v>
      </c>
      <c r="J22" s="4"/>
      <c r="L22" s="12" t="s">
        <v>139</v>
      </c>
      <c r="M22" s="4"/>
    </row>
    <row r="23" spans="2:13" ht="15" thickBot="1" x14ac:dyDescent="0.35">
      <c r="B23" s="12" t="s">
        <v>125</v>
      </c>
      <c r="C23" s="8">
        <v>41</v>
      </c>
      <c r="D23" s="8">
        <v>2400</v>
      </c>
      <c r="E23" s="8">
        <v>8500</v>
      </c>
      <c r="F23" s="9" t="s">
        <v>134</v>
      </c>
      <c r="I23" s="12" t="s">
        <v>39</v>
      </c>
      <c r="J23" s="4"/>
      <c r="L23" s="13" t="s">
        <v>140</v>
      </c>
      <c r="M23" s="7"/>
    </row>
    <row r="24" spans="2:13" x14ac:dyDescent="0.3">
      <c r="B24" s="12" t="s">
        <v>126</v>
      </c>
      <c r="C24" s="8">
        <v>33</v>
      </c>
      <c r="D24" s="8">
        <v>1150</v>
      </c>
      <c r="E24" s="8">
        <v>0</v>
      </c>
      <c r="F24" s="9" t="s">
        <v>133</v>
      </c>
      <c r="I24" s="12" t="s">
        <v>40</v>
      </c>
      <c r="J24" s="4"/>
    </row>
    <row r="25" spans="2:13" ht="15" thickBot="1" x14ac:dyDescent="0.35">
      <c r="B25" s="12" t="s">
        <v>127</v>
      </c>
      <c r="C25" s="8">
        <v>42</v>
      </c>
      <c r="D25" s="8">
        <v>1900</v>
      </c>
      <c r="E25" s="8">
        <v>0</v>
      </c>
      <c r="F25" s="9" t="s">
        <v>135</v>
      </c>
      <c r="I25" s="13" t="s">
        <v>41</v>
      </c>
      <c r="J25" s="7"/>
    </row>
    <row r="26" spans="2:13" ht="15" thickBot="1" x14ac:dyDescent="0.35">
      <c r="B26" s="13" t="s">
        <v>128</v>
      </c>
      <c r="C26" s="10">
        <v>35</v>
      </c>
      <c r="D26" s="10">
        <v>1300</v>
      </c>
      <c r="E26" s="10">
        <v>400</v>
      </c>
      <c r="F26" s="11" t="s">
        <v>133</v>
      </c>
    </row>
  </sheetData>
  <mergeCells count="15">
    <mergeCell ref="I20:J20"/>
    <mergeCell ref="I21:J21"/>
    <mergeCell ref="L12:M12"/>
    <mergeCell ref="L13:M13"/>
    <mergeCell ref="I14:J14"/>
    <mergeCell ref="I15:J15"/>
    <mergeCell ref="L17:M17"/>
    <mergeCell ref="L18:M18"/>
    <mergeCell ref="I6:J6"/>
    <mergeCell ref="L6:M6"/>
    <mergeCell ref="B3:F3"/>
    <mergeCell ref="B4:F4"/>
    <mergeCell ref="I3:M3"/>
    <mergeCell ref="I5:J5"/>
    <mergeCell ref="L5:M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Dafare</dc:creator>
  <cp:lastModifiedBy>Abhishek Dafare</cp:lastModifiedBy>
  <dcterms:created xsi:type="dcterms:W3CDTF">2026-02-15T11:41:10Z</dcterms:created>
  <dcterms:modified xsi:type="dcterms:W3CDTF">2026-02-15T17:15:51Z</dcterms:modified>
</cp:coreProperties>
</file>